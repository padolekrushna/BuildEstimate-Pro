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Override PartName="/xl/worksheets/sheet6.xml" ContentType="application/vnd.openxmlformats-officedocument.spreadsheetml.worksheet+xml"/>
  <Override PartName="/xl/worksheets/sheet7.xml" ContentType="application/vnd.openxmlformats-officedocument.spreadsheetml.worksheet+xml"/>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xl/worksheets/sheet5.xml" ContentType="application/vnd.openxmlformats-officedocument.spreadsheetml.worksheet+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worksheets/sheet1.xml" ContentType="application/vnd.openxmlformats-officedocument.spreadsheetml.worksheet+xml"/>
  <Override PartName="/xl/externalLinks/externalLink1.xml" ContentType="application/vnd.openxmlformats-officedocument.spreadsheetml.externalLink+xml"/>
  <Override PartName="/xl/calcChain.xml" ContentType="application/vnd.openxmlformats-officedocument.spreadsheetml.calcChain+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360" yWindow="30" windowWidth="9720" windowHeight="7050" tabRatio="601" firstSheet="4" activeTab="5"/>
  </bookViews>
  <sheets>
    <sheet name="Face B (2)" sheetId="30" r:id="rId1"/>
    <sheet name="Face F" sheetId="29" r:id="rId2"/>
    <sheet name="meas Colony 20.05.15" sheetId="31" r:id="rId3"/>
    <sheet name="Painting Estimate Colony F" sheetId="32" r:id="rId4"/>
    <sheet name="Class IV " sheetId="35" r:id="rId5"/>
    <sheet name="FS" sheetId="36" r:id="rId6"/>
    <sheet name="QC" sheetId="37" r:id="rId7"/>
  </sheets>
  <externalReferences>
    <externalReference r:id="rId8"/>
  </externalReferences>
  <definedNames>
    <definedName name="_xlnm.Print_Area" localSheetId="4">'Class IV '!$A$1:$K$371</definedName>
    <definedName name="_xlnm.Print_Area" localSheetId="0">'Face B (2)'!$A$1:$K$251</definedName>
    <definedName name="_xlnm.Print_Area" localSheetId="1">'Face F'!$A$1:$N$56</definedName>
    <definedName name="_xlnm.Print_Area" localSheetId="2">'meas Colony 20.05.15'!$A$1:$K$543</definedName>
    <definedName name="_xlnm.Print_Area" localSheetId="3">'Painting Estimate Colony F'!$A$1:$K$503</definedName>
    <definedName name="_xlnm.Print_Area" localSheetId="6">QC!$A$1:$F$19</definedName>
    <definedName name="_xlnm.Print_Titles" localSheetId="2">'meas Colony 20.05.15'!$9:$9</definedName>
    <definedName name="_xlnm.Print_Titles" localSheetId="3">'Painting Estimate Colony F'!$9:$9</definedName>
  </definedNames>
  <calcPr calcId="124519"/>
</workbook>
</file>

<file path=xl/calcChain.xml><?xml version="1.0" encoding="utf-8"?>
<calcChain xmlns="http://schemas.openxmlformats.org/spreadsheetml/2006/main">
  <c r="H250" i="35"/>
  <c r="K250" s="1"/>
  <c r="H249"/>
  <c r="H228"/>
  <c r="H314"/>
  <c r="H315" s="1"/>
  <c r="H310"/>
  <c r="H311" s="1"/>
  <c r="H312" s="1"/>
  <c r="K315" l="1"/>
  <c r="K312"/>
  <c r="H351" l="1"/>
  <c r="K351" s="1"/>
  <c r="H348"/>
  <c r="K348" s="1"/>
  <c r="I342"/>
  <c r="L342" s="1"/>
  <c r="D52" i="36"/>
  <c r="F14" i="37"/>
  <c r="F13"/>
  <c r="A15" i="35"/>
  <c r="A116" s="1"/>
  <c r="A121" s="1"/>
  <c r="A147" s="1"/>
  <c r="A150" s="1"/>
  <c r="A155" s="1"/>
  <c r="A159" s="1"/>
  <c r="A177" s="1"/>
  <c r="K338"/>
  <c r="H358"/>
  <c r="H357"/>
  <c r="H356"/>
  <c r="H244"/>
  <c r="H243"/>
  <c r="H253"/>
  <c r="H258"/>
  <c r="H259" s="1"/>
  <c r="K259" s="1"/>
  <c r="H239"/>
  <c r="H240" s="1"/>
  <c r="H118"/>
  <c r="H117"/>
  <c r="H303"/>
  <c r="H304"/>
  <c r="H302"/>
  <c r="D214"/>
  <c r="H214" s="1"/>
  <c r="D213"/>
  <c r="H213" s="1"/>
  <c r="D212"/>
  <c r="H212" s="1"/>
  <c r="D211"/>
  <c r="H211" s="1"/>
  <c r="D210"/>
  <c r="H210" s="1"/>
  <c r="D209"/>
  <c r="H209" s="1"/>
  <c r="H360" l="1"/>
  <c r="H361" s="1"/>
  <c r="K361" s="1"/>
  <c r="H119"/>
  <c r="K119" s="1"/>
  <c r="K240"/>
  <c r="H245"/>
  <c r="H254"/>
  <c r="H255" s="1"/>
  <c r="K255" s="1"/>
  <c r="H305"/>
  <c r="H306" s="1"/>
  <c r="H307" s="1"/>
  <c r="K307" s="1"/>
  <c r="H215"/>
  <c r="H216" s="1"/>
  <c r="K216" s="1"/>
  <c r="K246" l="1"/>
  <c r="H246"/>
  <c r="H227"/>
  <c r="H298"/>
  <c r="H299" s="1"/>
  <c r="K299" s="1"/>
  <c r="H294"/>
  <c r="H295" s="1"/>
  <c r="H296" s="1"/>
  <c r="K296" s="1"/>
  <c r="H284"/>
  <c r="H285" s="1"/>
  <c r="K285" s="1"/>
  <c r="H280"/>
  <c r="H279"/>
  <c r="H276"/>
  <c r="K276" s="1"/>
  <c r="H273"/>
  <c r="H272"/>
  <c r="H268"/>
  <c r="K268" s="1"/>
  <c r="H265"/>
  <c r="K265" s="1"/>
  <c r="H262"/>
  <c r="K262" s="1"/>
  <c r="H156"/>
  <c r="H157" s="1"/>
  <c r="K157" s="1"/>
  <c r="K291"/>
  <c r="H288"/>
  <c r="K288" s="1"/>
  <c r="H151"/>
  <c r="H152" s="1"/>
  <c r="K152" s="1"/>
  <c r="H148"/>
  <c r="K148" s="1"/>
  <c r="H162"/>
  <c r="H163"/>
  <c r="H164"/>
  <c r="H165"/>
  <c r="H167"/>
  <c r="H274" l="1"/>
  <c r="K274" s="1"/>
  <c r="H281"/>
  <c r="K281" s="1"/>
  <c r="H325" l="1"/>
  <c r="H318"/>
  <c r="H234"/>
  <c r="H233"/>
  <c r="E179"/>
  <c r="H141"/>
  <c r="D140"/>
  <c r="H140" s="1"/>
  <c r="D139"/>
  <c r="H139" s="1"/>
  <c r="D137"/>
  <c r="H137" s="1"/>
  <c r="D136"/>
  <c r="H136" s="1"/>
  <c r="H11"/>
  <c r="H10"/>
  <c r="H9"/>
  <c r="H319" l="1"/>
  <c r="H320" s="1"/>
  <c r="H321" s="1"/>
  <c r="H235"/>
  <c r="H236" s="1"/>
  <c r="K236" s="1"/>
  <c r="H12"/>
  <c r="H13" s="1"/>
  <c r="K13" s="1"/>
  <c r="P319" l="1"/>
  <c r="Q319" s="1"/>
  <c r="A182" l="1"/>
  <c r="A185" s="1"/>
  <c r="A189" s="1"/>
  <c r="F12" i="37"/>
  <c r="F10"/>
  <c r="F9"/>
  <c r="F8"/>
  <c r="K321" i="35"/>
  <c r="A194" l="1"/>
  <c r="A197" s="1"/>
  <c r="H334"/>
  <c r="H331"/>
  <c r="K331" s="1"/>
  <c r="H326"/>
  <c r="H173"/>
  <c r="H172"/>
  <c r="H171"/>
  <c r="H170"/>
  <c r="H169"/>
  <c r="H168"/>
  <c r="H226"/>
  <c r="H225"/>
  <c r="H110"/>
  <c r="H109"/>
  <c r="D107"/>
  <c r="H107" s="1"/>
  <c r="H105"/>
  <c r="H104"/>
  <c r="H102"/>
  <c r="H99"/>
  <c r="H98"/>
  <c r="H97"/>
  <c r="H96"/>
  <c r="H95"/>
  <c r="H94"/>
  <c r="H92"/>
  <c r="H91"/>
  <c r="H89"/>
  <c r="H88"/>
  <c r="H87"/>
  <c r="H85"/>
  <c r="H84"/>
  <c r="H83"/>
  <c r="H81"/>
  <c r="H80"/>
  <c r="H79"/>
  <c r="H77"/>
  <c r="H76"/>
  <c r="H74"/>
  <c r="H73"/>
  <c r="H72"/>
  <c r="H71"/>
  <c r="H69"/>
  <c r="H68"/>
  <c r="H67"/>
  <c r="H66"/>
  <c r="H62"/>
  <c r="H61"/>
  <c r="H59"/>
  <c r="H58"/>
  <c r="H56"/>
  <c r="H55"/>
  <c r="H53"/>
  <c r="H52"/>
  <c r="H50"/>
  <c r="H49"/>
  <c r="H46"/>
  <c r="H45"/>
  <c r="H44"/>
  <c r="H42"/>
  <c r="H41"/>
  <c r="H40"/>
  <c r="H39"/>
  <c r="H38"/>
  <c r="H37"/>
  <c r="H36"/>
  <c r="H35"/>
  <c r="H34"/>
  <c r="H33"/>
  <c r="H32"/>
  <c r="H31"/>
  <c r="H27"/>
  <c r="H26"/>
  <c r="H25"/>
  <c r="H24"/>
  <c r="H23"/>
  <c r="H22"/>
  <c r="H21"/>
  <c r="H20"/>
  <c r="H19"/>
  <c r="H18"/>
  <c r="H142"/>
  <c r="H133"/>
  <c r="H132"/>
  <c r="H131"/>
  <c r="H130"/>
  <c r="H129"/>
  <c r="H138"/>
  <c r="H135"/>
  <c r="H128"/>
  <c r="H127"/>
  <c r="H126"/>
  <c r="H125"/>
  <c r="H124"/>
  <c r="K70" i="32"/>
  <c r="H229" i="35" l="1"/>
  <c r="H230" s="1"/>
  <c r="A200"/>
  <c r="A206" s="1"/>
  <c r="A218" s="1"/>
  <c r="A222" s="1"/>
  <c r="A232" s="1"/>
  <c r="A238" s="1"/>
  <c r="A242" s="1"/>
  <c r="H134"/>
  <c r="H143"/>
  <c r="G219" s="1"/>
  <c r="H111"/>
  <c r="H63"/>
  <c r="H327"/>
  <c r="H328" s="1"/>
  <c r="K328" s="1"/>
  <c r="H335"/>
  <c r="K335" s="1"/>
  <c r="H28"/>
  <c r="G179" s="1"/>
  <c r="H179" s="1"/>
  <c r="H174"/>
  <c r="H175" s="1"/>
  <c r="H310" i="32"/>
  <c r="H311"/>
  <c r="H309"/>
  <c r="H303"/>
  <c r="H302"/>
  <c r="K488"/>
  <c r="H479"/>
  <c r="H480"/>
  <c r="H481"/>
  <c r="H482"/>
  <c r="H483"/>
  <c r="H471"/>
  <c r="H470"/>
  <c r="H468"/>
  <c r="H467"/>
  <c r="A257" i="35" l="1"/>
  <c r="A261" s="1"/>
  <c r="A264" s="1"/>
  <c r="A267" s="1"/>
  <c r="A271" s="1"/>
  <c r="A275" s="1"/>
  <c r="A278" s="1"/>
  <c r="A283" s="1"/>
  <c r="A287" s="1"/>
  <c r="A290" s="1"/>
  <c r="A293" s="1"/>
  <c r="A297" s="1"/>
  <c r="A301" s="1"/>
  <c r="A309" s="1"/>
  <c r="A313" s="1"/>
  <c r="A317" s="1"/>
  <c r="A323" s="1"/>
  <c r="A330" s="1"/>
  <c r="A333" s="1"/>
  <c r="A337" s="1"/>
  <c r="A340" s="1"/>
  <c r="A344" s="1"/>
  <c r="A350" s="1"/>
  <c r="A354" s="1"/>
  <c r="A248"/>
  <c r="A252" s="1"/>
  <c r="K220"/>
  <c r="H219"/>
  <c r="H220" s="1"/>
  <c r="H180"/>
  <c r="K175"/>
  <c r="H198"/>
  <c r="K198" s="1"/>
  <c r="G183"/>
  <c r="H183" s="1"/>
  <c r="H184" s="1"/>
  <c r="G186"/>
  <c r="H112"/>
  <c r="H484" i="32"/>
  <c r="K484" s="1"/>
  <c r="K500"/>
  <c r="K496"/>
  <c r="K492"/>
  <c r="H472"/>
  <c r="K473" s="1"/>
  <c r="K462"/>
  <c r="H459"/>
  <c r="K459" s="1"/>
  <c r="H454"/>
  <c r="H453"/>
  <c r="H455" s="1"/>
  <c r="H456" s="1"/>
  <c r="K456" s="1"/>
  <c r="K449"/>
  <c r="H446"/>
  <c r="H447" s="1"/>
  <c r="H448" s="1"/>
  <c r="H440"/>
  <c r="H439"/>
  <c r="H436"/>
  <c r="K436" s="1"/>
  <c r="K428"/>
  <c r="H424"/>
  <c r="H423"/>
  <c r="H422"/>
  <c r="H421"/>
  <c r="H417"/>
  <c r="H416"/>
  <c r="H415"/>
  <c r="H410"/>
  <c r="H409"/>
  <c r="H407"/>
  <c r="H405"/>
  <c r="H404"/>
  <c r="H403"/>
  <c r="H402"/>
  <c r="H401"/>
  <c r="H396"/>
  <c r="H395"/>
  <c r="H393"/>
  <c r="H391"/>
  <c r="H390"/>
  <c r="H389"/>
  <c r="H388"/>
  <c r="H386"/>
  <c r="H385"/>
  <c r="H384"/>
  <c r="H383"/>
  <c r="H382"/>
  <c r="H380"/>
  <c r="H379"/>
  <c r="H378"/>
  <c r="H377"/>
  <c r="H372"/>
  <c r="H370"/>
  <c r="H369"/>
  <c r="H368"/>
  <c r="H367"/>
  <c r="H366"/>
  <c r="H365"/>
  <c r="H363"/>
  <c r="H362"/>
  <c r="H361"/>
  <c r="H360"/>
  <c r="H352"/>
  <c r="H351"/>
  <c r="H343"/>
  <c r="H342"/>
  <c r="H341"/>
  <c r="H340"/>
  <c r="H332"/>
  <c r="H331"/>
  <c r="H330"/>
  <c r="H329"/>
  <c r="H328"/>
  <c r="H327"/>
  <c r="H320"/>
  <c r="H319"/>
  <c r="H308"/>
  <c r="H301"/>
  <c r="H300"/>
  <c r="H276"/>
  <c r="H275"/>
  <c r="D273"/>
  <c r="H273" s="1"/>
  <c r="H271"/>
  <c r="H270"/>
  <c r="H268"/>
  <c r="H265"/>
  <c r="H264"/>
  <c r="H263"/>
  <c r="H262"/>
  <c r="H261"/>
  <c r="H260"/>
  <c r="H258"/>
  <c r="H257"/>
  <c r="H255"/>
  <c r="H254"/>
  <c r="H253"/>
  <c r="H251"/>
  <c r="H250"/>
  <c r="H249"/>
  <c r="H247"/>
  <c r="H246"/>
  <c r="H245"/>
  <c r="H243"/>
  <c r="H242"/>
  <c r="H240"/>
  <c r="H239"/>
  <c r="H238"/>
  <c r="H237"/>
  <c r="H235"/>
  <c r="H234"/>
  <c r="H233"/>
  <c r="H232"/>
  <c r="H227"/>
  <c r="H225"/>
  <c r="D223"/>
  <c r="H223" s="1"/>
  <c r="H221"/>
  <c r="H219"/>
  <c r="H216"/>
  <c r="H215"/>
  <c r="H214"/>
  <c r="H213"/>
  <c r="H212"/>
  <c r="H210"/>
  <c r="H209"/>
  <c r="H208"/>
  <c r="H206"/>
  <c r="H205"/>
  <c r="H204"/>
  <c r="H202"/>
  <c r="H201"/>
  <c r="H200"/>
  <c r="H197"/>
  <c r="H196"/>
  <c r="H195"/>
  <c r="H194"/>
  <c r="H193"/>
  <c r="H191"/>
  <c r="H190"/>
  <c r="H189"/>
  <c r="H188"/>
  <c r="H180"/>
  <c r="H179"/>
  <c r="H177"/>
  <c r="H176"/>
  <c r="H174"/>
  <c r="H173"/>
  <c r="H171"/>
  <c r="H170"/>
  <c r="H168"/>
  <c r="H167"/>
  <c r="H164"/>
  <c r="H163"/>
  <c r="H162"/>
  <c r="H160"/>
  <c r="H159"/>
  <c r="H158"/>
  <c r="H157"/>
  <c r="H156"/>
  <c r="H155"/>
  <c r="H154"/>
  <c r="H153"/>
  <c r="H152"/>
  <c r="H151"/>
  <c r="H150"/>
  <c r="H149"/>
  <c r="H144"/>
  <c r="H143"/>
  <c r="H141"/>
  <c r="H140"/>
  <c r="H138"/>
  <c r="H137"/>
  <c r="H135"/>
  <c r="H134"/>
  <c r="H132"/>
  <c r="H131"/>
  <c r="H130"/>
  <c r="H128"/>
  <c r="H127"/>
  <c r="H124"/>
  <c r="H123"/>
  <c r="H122"/>
  <c r="H121"/>
  <c r="H118"/>
  <c r="H117"/>
  <c r="H116"/>
  <c r="H115"/>
  <c r="H114"/>
  <c r="H113"/>
  <c r="H112"/>
  <c r="H111"/>
  <c r="H110"/>
  <c r="H109"/>
  <c r="H108"/>
  <c r="H107"/>
  <c r="H106"/>
  <c r="H105"/>
  <c r="H99"/>
  <c r="H98"/>
  <c r="H97"/>
  <c r="H96"/>
  <c r="H95"/>
  <c r="H94"/>
  <c r="H93"/>
  <c r="H92"/>
  <c r="H91"/>
  <c r="H90"/>
  <c r="H85"/>
  <c r="H84"/>
  <c r="H83"/>
  <c r="H82"/>
  <c r="H81"/>
  <c r="H80"/>
  <c r="H79"/>
  <c r="H78"/>
  <c r="H77"/>
  <c r="H76"/>
  <c r="H75"/>
  <c r="H60"/>
  <c r="H59"/>
  <c r="H56"/>
  <c r="H55"/>
  <c r="H54"/>
  <c r="H53"/>
  <c r="H52"/>
  <c r="H51"/>
  <c r="H50"/>
  <c r="H49"/>
  <c r="H48"/>
  <c r="H47"/>
  <c r="H46"/>
  <c r="H45"/>
  <c r="H42"/>
  <c r="H41"/>
  <c r="H40"/>
  <c r="H39"/>
  <c r="H38"/>
  <c r="H37"/>
  <c r="H36"/>
  <c r="H35"/>
  <c r="H34"/>
  <c r="H33"/>
  <c r="H32"/>
  <c r="H31"/>
  <c r="H30"/>
  <c r="H29"/>
  <c r="H28"/>
  <c r="H27"/>
  <c r="H23"/>
  <c r="H22"/>
  <c r="H21"/>
  <c r="H20"/>
  <c r="H16"/>
  <c r="H15"/>
  <c r="H14"/>
  <c r="H13"/>
  <c r="H12"/>
  <c r="H11"/>
  <c r="H454" i="31"/>
  <c r="H48"/>
  <c r="H519"/>
  <c r="H520"/>
  <c r="H521"/>
  <c r="H518"/>
  <c r="H50"/>
  <c r="K540"/>
  <c r="K536"/>
  <c r="K530"/>
  <c r="K525"/>
  <c r="H496"/>
  <c r="H495"/>
  <c r="H354"/>
  <c r="H355"/>
  <c r="H304"/>
  <c r="H303"/>
  <c r="H302"/>
  <c r="H296"/>
  <c r="H295"/>
  <c r="H294"/>
  <c r="H186" i="35" l="1"/>
  <c r="H187" s="1"/>
  <c r="K187" s="1"/>
  <c r="H195"/>
  <c r="H196" s="1"/>
  <c r="K196" s="1"/>
  <c r="H113"/>
  <c r="H114" s="1"/>
  <c r="K114" s="1"/>
  <c r="K180"/>
  <c r="H190"/>
  <c r="H192" s="1"/>
  <c r="K192" s="1"/>
  <c r="K184"/>
  <c r="H191"/>
  <c r="K230"/>
  <c r="H304" i="32"/>
  <c r="H305" s="1"/>
  <c r="H312"/>
  <c r="H313" s="1"/>
  <c r="H321"/>
  <c r="H322" s="1"/>
  <c r="K322" s="1"/>
  <c r="H17"/>
  <c r="H18" s="1"/>
  <c r="K18" s="1"/>
  <c r="H86"/>
  <c r="H87" s="1"/>
  <c r="H181"/>
  <c r="H182" s="1"/>
  <c r="H183" s="1"/>
  <c r="H282" s="1"/>
  <c r="H293" s="1"/>
  <c r="K293" s="1"/>
  <c r="H333"/>
  <c r="H334" s="1"/>
  <c r="H335" s="1"/>
  <c r="H336" s="1"/>
  <c r="K336" s="1"/>
  <c r="H411"/>
  <c r="H412" s="1"/>
  <c r="K412" s="1"/>
  <c r="H24"/>
  <c r="H425"/>
  <c r="H426" s="1"/>
  <c r="H373"/>
  <c r="H374" s="1"/>
  <c r="K374" s="1"/>
  <c r="H397"/>
  <c r="H398" s="1"/>
  <c r="K398" s="1"/>
  <c r="H418"/>
  <c r="H419" s="1"/>
  <c r="H100"/>
  <c r="H101" s="1"/>
  <c r="H102" s="1"/>
  <c r="H145"/>
  <c r="H277"/>
  <c r="H278" s="1"/>
  <c r="H441"/>
  <c r="H228"/>
  <c r="H229" s="1"/>
  <c r="H522" i="31"/>
  <c r="H523" s="1"/>
  <c r="K523" s="1"/>
  <c r="H497"/>
  <c r="H315" i="32" l="1"/>
  <c r="H316" s="1"/>
  <c r="K316" s="1"/>
  <c r="H427"/>
  <c r="H290"/>
  <c r="H347"/>
  <c r="H61"/>
  <c r="H62" s="1"/>
  <c r="H350"/>
  <c r="H353" s="1"/>
  <c r="H354" s="1"/>
  <c r="K354" s="1"/>
  <c r="H279"/>
  <c r="H283" s="1"/>
  <c r="H281"/>
  <c r="H429" s="1"/>
  <c r="K429" s="1"/>
  <c r="K290"/>
  <c r="H432" l="1"/>
  <c r="K432" s="1"/>
  <c r="H338"/>
  <c r="H344" s="1"/>
  <c r="H345" s="1"/>
  <c r="K345" s="1"/>
  <c r="H67"/>
  <c r="K67" s="1"/>
  <c r="K62"/>
  <c r="H435"/>
  <c r="K435" s="1"/>
  <c r="K347"/>
  <c r="H285"/>
  <c r="H286" s="1"/>
  <c r="H355" l="1"/>
  <c r="K355" s="1"/>
  <c r="H287"/>
  <c r="K287" s="1"/>
  <c r="K501" s="1"/>
  <c r="K502" s="1"/>
  <c r="K503" s="1"/>
  <c r="H9" i="30" s="1"/>
  <c r="H29" i="31" l="1"/>
  <c r="H30"/>
  <c r="H32"/>
  <c r="H34"/>
  <c r="H38"/>
  <c r="H36"/>
  <c r="H57"/>
  <c r="H58"/>
  <c r="H62"/>
  <c r="H61"/>
  <c r="H313"/>
  <c r="H312"/>
  <c r="H301"/>
  <c r="H305" s="1"/>
  <c r="H306" s="1"/>
  <c r="H293"/>
  <c r="H297" s="1"/>
  <c r="H298" s="1"/>
  <c r="H308" l="1"/>
  <c r="H309" s="1"/>
  <c r="K309" s="1"/>
  <c r="H314"/>
  <c r="H315" s="1"/>
  <c r="K315" s="1"/>
  <c r="H346" l="1"/>
  <c r="H345"/>
  <c r="K491"/>
  <c r="K455"/>
  <c r="K434"/>
  <c r="H198" l="1"/>
  <c r="H56"/>
  <c r="H55"/>
  <c r="H54"/>
  <c r="H53"/>
  <c r="H52"/>
  <c r="H51"/>
  <c r="H49"/>
  <c r="H47"/>
  <c r="H44"/>
  <c r="H43"/>
  <c r="H42"/>
  <c r="H41"/>
  <c r="H40"/>
  <c r="H39"/>
  <c r="H37"/>
  <c r="H35"/>
  <c r="H33"/>
  <c r="H31"/>
  <c r="H23"/>
  <c r="H22"/>
  <c r="H16"/>
  <c r="H15"/>
  <c r="H14"/>
  <c r="E8" i="29"/>
  <c r="H161" i="31" l="1"/>
  <c r="H83"/>
  <c r="H97"/>
  <c r="H213"/>
  <c r="H214"/>
  <c r="H215"/>
  <c r="H216"/>
  <c r="H217"/>
  <c r="H110" l="1"/>
  <c r="H344" l="1"/>
  <c r="H343"/>
  <c r="H509"/>
  <c r="H511" s="1"/>
  <c r="H512" s="1"/>
  <c r="K512" s="1"/>
  <c r="H501"/>
  <c r="H498"/>
  <c r="K498" s="1"/>
  <c r="H483"/>
  <c r="H484" s="1"/>
  <c r="H485" s="1"/>
  <c r="H486" s="1"/>
  <c r="H478"/>
  <c r="H479" s="1"/>
  <c r="H480" s="1"/>
  <c r="H481" s="1"/>
  <c r="H472"/>
  <c r="H471"/>
  <c r="H466"/>
  <c r="H465"/>
  <c r="H464"/>
  <c r="H463"/>
  <c r="H459"/>
  <c r="H458"/>
  <c r="H452"/>
  <c r="H446"/>
  <c r="H445"/>
  <c r="H442"/>
  <c r="H429"/>
  <c r="H430"/>
  <c r="H428"/>
  <c r="H427"/>
  <c r="H423"/>
  <c r="H422"/>
  <c r="H421"/>
  <c r="H416"/>
  <c r="H401"/>
  <c r="H415"/>
  <c r="H409"/>
  <c r="H408"/>
  <c r="H407"/>
  <c r="H406"/>
  <c r="H414"/>
  <c r="H412"/>
  <c r="H410"/>
  <c r="H400"/>
  <c r="H395"/>
  <c r="H394"/>
  <c r="H393"/>
  <c r="H392"/>
  <c r="H390"/>
  <c r="H389"/>
  <c r="H388"/>
  <c r="H387"/>
  <c r="H386"/>
  <c r="H384"/>
  <c r="H383"/>
  <c r="H382"/>
  <c r="H381"/>
  <c r="H399"/>
  <c r="H397"/>
  <c r="H373"/>
  <c r="H372"/>
  <c r="H368"/>
  <c r="H376"/>
  <c r="H375"/>
  <c r="H371"/>
  <c r="H370"/>
  <c r="H369"/>
  <c r="H366"/>
  <c r="H365"/>
  <c r="H363"/>
  <c r="H364"/>
  <c r="D224"/>
  <c r="H224" s="1"/>
  <c r="H226"/>
  <c r="H228"/>
  <c r="H222"/>
  <c r="H220"/>
  <c r="H202"/>
  <c r="H210"/>
  <c r="H211"/>
  <c r="H209"/>
  <c r="H206"/>
  <c r="H207"/>
  <c r="H205"/>
  <c r="H203"/>
  <c r="H201"/>
  <c r="H197"/>
  <c r="H192"/>
  <c r="H190"/>
  <c r="H196"/>
  <c r="H195"/>
  <c r="H194"/>
  <c r="H191"/>
  <c r="H189"/>
  <c r="H229" s="1"/>
  <c r="H230" s="1"/>
  <c r="H276"/>
  <c r="H277"/>
  <c r="D274"/>
  <c r="H274" s="1"/>
  <c r="H272"/>
  <c r="H271"/>
  <c r="H269"/>
  <c r="H266"/>
  <c r="H265"/>
  <c r="H264"/>
  <c r="H263"/>
  <c r="H261"/>
  <c r="H262"/>
  <c r="H258"/>
  <c r="H259"/>
  <c r="H256"/>
  <c r="H255"/>
  <c r="H254"/>
  <c r="H252"/>
  <c r="H251"/>
  <c r="H250"/>
  <c r="H248"/>
  <c r="H247"/>
  <c r="H246"/>
  <c r="H244"/>
  <c r="H243"/>
  <c r="H241"/>
  <c r="H240"/>
  <c r="H239"/>
  <c r="H238"/>
  <c r="H236"/>
  <c r="H235"/>
  <c r="H234"/>
  <c r="H233"/>
  <c r="H125"/>
  <c r="H118"/>
  <c r="H117"/>
  <c r="H116"/>
  <c r="H115"/>
  <c r="H114"/>
  <c r="H113"/>
  <c r="H112"/>
  <c r="H111"/>
  <c r="H109"/>
  <c r="H108"/>
  <c r="H107"/>
  <c r="H106"/>
  <c r="H145"/>
  <c r="H144"/>
  <c r="H142"/>
  <c r="H141"/>
  <c r="H139"/>
  <c r="H138"/>
  <c r="H136"/>
  <c r="H135"/>
  <c r="H133"/>
  <c r="H132"/>
  <c r="H131"/>
  <c r="H129"/>
  <c r="H128"/>
  <c r="H124"/>
  <c r="H123"/>
  <c r="H122"/>
  <c r="H119"/>
  <c r="H181"/>
  <c r="H180"/>
  <c r="H178"/>
  <c r="H177"/>
  <c r="H175"/>
  <c r="H174"/>
  <c r="H172"/>
  <c r="H171"/>
  <c r="H169"/>
  <c r="H168"/>
  <c r="H165"/>
  <c r="H164"/>
  <c r="H160"/>
  <c r="H159"/>
  <c r="H158"/>
  <c r="H157"/>
  <c r="H155"/>
  <c r="H154"/>
  <c r="H156"/>
  <c r="H153"/>
  <c r="H152"/>
  <c r="H151"/>
  <c r="H150"/>
  <c r="H163"/>
  <c r="H82"/>
  <c r="H86"/>
  <c r="H80"/>
  <c r="H79"/>
  <c r="H77"/>
  <c r="H85"/>
  <c r="H84"/>
  <c r="H81"/>
  <c r="H78"/>
  <c r="H76"/>
  <c r="H100"/>
  <c r="H99"/>
  <c r="H98"/>
  <c r="H96"/>
  <c r="H94"/>
  <c r="H95"/>
  <c r="H93"/>
  <c r="H92"/>
  <c r="H91"/>
  <c r="H353"/>
  <c r="H324"/>
  <c r="H323"/>
  <c r="H322"/>
  <c r="H321"/>
  <c r="H320"/>
  <c r="H319"/>
  <c r="H318"/>
  <c r="H25"/>
  <c r="H24"/>
  <c r="H63" s="1"/>
  <c r="H64" s="1"/>
  <c r="K64" s="1"/>
  <c r="H13"/>
  <c r="H12"/>
  <c r="H11"/>
  <c r="G176" i="30"/>
  <c r="G179" s="1"/>
  <c r="G121"/>
  <c r="G122"/>
  <c r="G62"/>
  <c r="G64" s="1"/>
  <c r="E52"/>
  <c r="G125"/>
  <c r="K504" i="31" l="1"/>
  <c r="K501"/>
  <c r="H18"/>
  <c r="H19" s="1"/>
  <c r="K19" s="1"/>
  <c r="H356"/>
  <c r="H357" s="1"/>
  <c r="K357" s="1"/>
  <c r="H473"/>
  <c r="H474" s="1"/>
  <c r="H475" s="1"/>
  <c r="K442"/>
  <c r="H447"/>
  <c r="H417"/>
  <c r="H418" s="1"/>
  <c r="K418" s="1"/>
  <c r="H377"/>
  <c r="H378" s="1"/>
  <c r="K378" s="1"/>
  <c r="H402"/>
  <c r="H403" s="1"/>
  <c r="K403" s="1"/>
  <c r="H431"/>
  <c r="H432" s="1"/>
  <c r="H424"/>
  <c r="H425" s="1"/>
  <c r="H278"/>
  <c r="H279" s="1"/>
  <c r="H280" s="1"/>
  <c r="H284" s="1"/>
  <c r="H467"/>
  <c r="H468" s="1"/>
  <c r="H469" s="1"/>
  <c r="H182"/>
  <c r="H183" s="1"/>
  <c r="H184" s="1"/>
  <c r="H283" s="1"/>
  <c r="H334" s="1"/>
  <c r="K334" s="1"/>
  <c r="H101"/>
  <c r="H102" s="1"/>
  <c r="H325"/>
  <c r="H326" s="1"/>
  <c r="H327" s="1"/>
  <c r="H328" s="1"/>
  <c r="H146"/>
  <c r="H87"/>
  <c r="H88" s="1"/>
  <c r="H103" s="1"/>
  <c r="H460"/>
  <c r="H461" s="1"/>
  <c r="H462" s="1"/>
  <c r="G67" i="30"/>
  <c r="H433" i="31" l="1"/>
  <c r="H487"/>
  <c r="H488" s="1"/>
  <c r="H489" s="1"/>
  <c r="H490" s="1"/>
  <c r="H337"/>
  <c r="K337" s="1"/>
  <c r="H441"/>
  <c r="K441" s="1"/>
  <c r="H282"/>
  <c r="H331"/>
  <c r="K331" s="1"/>
  <c r="H69"/>
  <c r="K69" s="1"/>
  <c r="K328"/>
  <c r="H438" l="1"/>
  <c r="K438" s="1"/>
  <c r="H435"/>
  <c r="K435" s="1"/>
  <c r="H286"/>
  <c r="H358" s="1"/>
  <c r="K358" s="1"/>
  <c r="H350"/>
  <c r="K350" l="1"/>
  <c r="H347"/>
  <c r="H348" s="1"/>
  <c r="K348" s="1"/>
  <c r="H287"/>
  <c r="H288" s="1"/>
  <c r="K288" s="1"/>
  <c r="K541" s="1"/>
  <c r="K542" s="1"/>
  <c r="K543" l="1"/>
  <c r="H11" i="30" s="1"/>
  <c r="H13" s="1"/>
  <c r="H15" s="1"/>
  <c r="H18" s="1"/>
  <c r="G10" i="29" s="1"/>
  <c r="G203" i="35" l="1"/>
  <c r="H144"/>
  <c r="H145" s="1"/>
  <c r="K145" s="1"/>
  <c r="H203" l="1"/>
  <c r="H204" s="1"/>
  <c r="K204" s="1"/>
  <c r="K362" s="1"/>
  <c r="D50" i="36" s="1"/>
  <c r="D51" s="1"/>
  <c r="D53" s="1"/>
  <c r="D54" l="1"/>
  <c r="D55" s="1"/>
  <c r="D57"/>
  <c r="D56" l="1"/>
  <c r="D58" s="1"/>
  <c r="D59" s="1"/>
  <c r="D60" s="1"/>
  <c r="D9" s="1"/>
</calcChain>
</file>

<file path=xl/sharedStrings.xml><?xml version="1.0" encoding="utf-8"?>
<sst xmlns="http://schemas.openxmlformats.org/spreadsheetml/2006/main" count="2412" uniqueCount="604">
  <si>
    <t>Gen/C/9</t>
  </si>
  <si>
    <t xml:space="preserve">b) Tor Steel Bars. </t>
  </si>
  <si>
    <t>Gen/L/2</t>
  </si>
  <si>
    <t>Rmt</t>
  </si>
  <si>
    <t>Bd/C/9</t>
  </si>
  <si>
    <t>Gen/C/3 (A)</t>
  </si>
  <si>
    <t>Unit</t>
  </si>
  <si>
    <t xml:space="preserve">M E A S U R E M E N T S </t>
  </si>
  <si>
    <t>Cum</t>
  </si>
  <si>
    <t>Sqm</t>
  </si>
  <si>
    <t>Say</t>
  </si>
  <si>
    <t>Gen/F/8</t>
  </si>
  <si>
    <t>top</t>
  </si>
  <si>
    <t>sqm</t>
  </si>
  <si>
    <t>Kg</t>
  </si>
  <si>
    <t>MT</t>
  </si>
  <si>
    <t>Bd/F/3</t>
  </si>
  <si>
    <t>centre</t>
  </si>
  <si>
    <t>Wt. 9.90 kg/m</t>
  </si>
  <si>
    <t>Kg  (1)</t>
  </si>
  <si>
    <t>Wt. 6.19 kg/m</t>
  </si>
  <si>
    <t xml:space="preserve">kg (2)  </t>
  </si>
  <si>
    <t>wt = 54.95 kg/m2</t>
  </si>
  <si>
    <t>kg (3)</t>
  </si>
  <si>
    <t>Plates required at top of vertical pipe 180 mm x 80mm x 7mm</t>
  </si>
  <si>
    <t>wt = 54.86 kg/m2</t>
  </si>
  <si>
    <t>kg (4)</t>
  </si>
  <si>
    <t>4) Cleat angle for fixing of purlin  65mmx65mmx6</t>
  </si>
  <si>
    <t>wt = 5.8 kg/m</t>
  </si>
  <si>
    <t>Kg (5)</t>
  </si>
  <si>
    <t>Total wt 1 + 2 + 3 + 4 +5</t>
  </si>
  <si>
    <t xml:space="preserve">L = (4 x 0.25) + 50 hook = 1.05 m </t>
  </si>
  <si>
    <t>2 x 9</t>
  </si>
  <si>
    <t>Prividing and fixing 0.50 mm thick zinc aluminium coated sheet for roofing (TATA Durashine or equivalent make) and laying the same in position as per stipulations in relevent I.S. including special type fastners/screws including bituminous washers as per manufacturer's specifications &amp; as directed by Engineer-in-charge, including loading, transportation, unloading, all labour material, taxes, duties, octroi etc complete.</t>
  </si>
  <si>
    <t>Name of Work :-</t>
  </si>
  <si>
    <t>Item No.</t>
  </si>
  <si>
    <t>Ref.to CSR</t>
  </si>
  <si>
    <t>Description of Item</t>
  </si>
  <si>
    <t>No.</t>
  </si>
  <si>
    <t>Length</t>
  </si>
  <si>
    <t>Breath</t>
  </si>
  <si>
    <t>Depth</t>
  </si>
  <si>
    <t xml:space="preserve">Quantity </t>
  </si>
  <si>
    <t xml:space="preserve">Total </t>
  </si>
  <si>
    <t>Total</t>
  </si>
  <si>
    <t>3) Base plate of size 180mm x 180mm x 7mm</t>
  </si>
  <si>
    <t>Rm.t.</t>
  </si>
  <si>
    <r>
      <t xml:space="preserve">Providing, transporting, cutting, fabricating, welding, hoisting and erecting in position welded or bolted </t>
    </r>
    <r>
      <rPr>
        <b/>
        <i/>
        <sz val="11"/>
        <rFont val="Bookman Old Style"/>
        <family val="1"/>
      </rPr>
      <t xml:space="preserve">structural steel work </t>
    </r>
    <r>
      <rPr>
        <sz val="11"/>
        <rFont val="Bookman Old Style"/>
        <family val="1"/>
      </rPr>
      <t xml:space="preserve">with tubular sections using ERW tubes of various diameters erecting using devices like derricks, cranes or any other suitable guys etc. and final bolting, welding, testing as may be required including two coats of red oxide zinc crome paint and two coats of synthetic super enamel paint of approved colour &amp; shade all materials and labour complete.    </t>
    </r>
  </si>
  <si>
    <r>
      <t xml:space="preserve">Providing and laying </t>
    </r>
    <r>
      <rPr>
        <b/>
        <sz val="11"/>
        <rFont val="Bookman Old Style"/>
        <family val="1"/>
      </rPr>
      <t>UPVC pipes</t>
    </r>
    <r>
      <rPr>
        <sz val="11"/>
        <rFont val="Bookman Old Style"/>
        <family val="1"/>
      </rPr>
      <t xml:space="preserve"> of standard make in line and level including necessary labour, bends, tees, fixtures etc. and testing the pipes complete.</t>
    </r>
  </si>
  <si>
    <r>
      <t xml:space="preserve">Providing and fixing </t>
    </r>
    <r>
      <rPr>
        <b/>
        <sz val="11"/>
        <rFont val="Bookman Old Style"/>
        <family val="1"/>
      </rPr>
      <t xml:space="preserve">valley gutter </t>
    </r>
    <r>
      <rPr>
        <sz val="11"/>
        <rFont val="Bookman Old Style"/>
        <family val="1"/>
      </rPr>
      <t>of plain galvanized iron sheets, 1200 mm wide including, coal tarring etc. complete.</t>
    </r>
  </si>
  <si>
    <r>
      <t xml:space="preserve">Providing and fixing in position </t>
    </r>
    <r>
      <rPr>
        <b/>
        <i/>
        <sz val="11"/>
        <rFont val="Bookman Old Style"/>
        <family val="1"/>
      </rPr>
      <t xml:space="preserve">reinforcement of all dia </t>
    </r>
    <r>
      <rPr>
        <sz val="11"/>
        <rFont val="Bookman Old Style"/>
        <family val="1"/>
      </rPr>
      <t>for RCC piles, pile caps, footings, foundations, slabs, columns, beams, canopies, staircase, newels, chajjas, lintels pardis, copings, fins, arches etc. as per detailed designs, drawings and schedules including cutting, bending, hooking the bars, binding with wires or tack welding and supporting as required at all locations and height all labour and materials testing etc. complete.</t>
    </r>
  </si>
  <si>
    <t>Gen/C/1</t>
  </si>
  <si>
    <r>
      <t xml:space="preserve">Providing and laying in position </t>
    </r>
    <r>
      <rPr>
        <b/>
        <i/>
        <sz val="11"/>
        <rFont val="Bookman Old Style"/>
        <family val="1"/>
      </rPr>
      <t xml:space="preserve">Cement Concrete for RCC work </t>
    </r>
    <r>
      <rPr>
        <sz val="11"/>
        <rFont val="Bookman Old Style"/>
        <family val="1"/>
      </rPr>
      <t xml:space="preserve">using granite / black trap metal including mixing in mechanically operated mixers, compacting by mechanical or manual means as may be required and directed by Engineer-In-Charge, including steel or plywood shuttering, centring, formwork dewatering, for all elements </t>
    </r>
    <r>
      <rPr>
        <b/>
        <i/>
        <sz val="11"/>
        <rFont val="Bookman Old Style"/>
        <family val="1"/>
      </rPr>
      <t>in foundation, plinths</t>
    </r>
    <r>
      <rPr>
        <sz val="11"/>
        <rFont val="Bookman Old Style"/>
        <family val="1"/>
      </rPr>
      <t xml:space="preserve">, of building works, where reinforced cement concrete is proposed to be used upto +/-5 m from the average ground level including all labour and material complete, finishing the surface with 1:3 cement mortar. etc complete. </t>
    </r>
    <r>
      <rPr>
        <b/>
        <sz val="11"/>
        <rFont val="Bookman Old Style"/>
        <family val="1"/>
      </rPr>
      <t>c) In 1:1.5:3 proportion by volume.</t>
    </r>
  </si>
  <si>
    <t>Assume 70 kg per Cu.m.</t>
  </si>
  <si>
    <t xml:space="preserve">Total Say </t>
  </si>
  <si>
    <t>1) 80 mm diameter     Garage</t>
  </si>
  <si>
    <t>Eighter  side</t>
  </si>
  <si>
    <t>2 x 3</t>
  </si>
  <si>
    <r>
      <rPr>
        <b/>
        <sz val="11"/>
        <rFont val="Bookman Old Style"/>
        <family val="1"/>
      </rPr>
      <t xml:space="preserve">2) 50 mm dia ….purlin  </t>
    </r>
    <r>
      <rPr>
        <sz val="11"/>
        <rFont val="Bookman Old Style"/>
        <family val="1"/>
      </rPr>
      <t xml:space="preserve">                                            Truss Tie Member</t>
    </r>
  </si>
  <si>
    <t>3 x 5</t>
  </si>
  <si>
    <t>Inclind Member</t>
  </si>
  <si>
    <t>3 x 2</t>
  </si>
  <si>
    <t>Vertical Member</t>
  </si>
  <si>
    <t>Purlins</t>
  </si>
  <si>
    <t>4 x 2</t>
  </si>
  <si>
    <t>No. of plates reqd = 9 Nos. x 2 for top &amp; bottom</t>
  </si>
  <si>
    <t>No. of plates reqd = 9 Nos. x 2 for bottom of Truss</t>
  </si>
  <si>
    <t>No. of plates reqd = 9 Nos. x 2 = 18 nos</t>
  </si>
  <si>
    <t>Garage</t>
  </si>
  <si>
    <t>2x9</t>
  </si>
  <si>
    <t>Add 5% for fixtures like nut bolts etc….</t>
  </si>
  <si>
    <t>Roof</t>
  </si>
  <si>
    <t>MAHARASTRA INDUSTRIAL DEVELOPMENT CORPORATION</t>
  </si>
  <si>
    <t>( A Government of Maharashtra Undertaking )</t>
  </si>
  <si>
    <t>ESTIMATE</t>
  </si>
  <si>
    <t>NAME OF WORK :-</t>
  </si>
  <si>
    <t>Patalganga Indl. Area… Development of plot &amp; premices @ newly constructed Jack-Well..</t>
  </si>
  <si>
    <t>ESTIMATED COST :-</t>
  </si>
  <si>
    <t xml:space="preserve">Net :-      </t>
  </si>
  <si>
    <t xml:space="preserve">Rs. </t>
  </si>
  <si>
    <t xml:space="preserve"> ( NET )</t>
  </si>
  <si>
    <t>Gross :-</t>
  </si>
  <si>
    <t>Rs.</t>
  </si>
  <si>
    <t>REFERANCE TO ADMINISTRATIVE</t>
  </si>
  <si>
    <t>APPROVAL</t>
  </si>
  <si>
    <t xml:space="preserve">TECHNICAL SANCTION :- </t>
  </si>
  <si>
    <t>For  Rs.</t>
  </si>
  <si>
    <t>………………………………. ( Net)</t>
  </si>
  <si>
    <t>Granted by……………………………. …. vide</t>
  </si>
  <si>
    <t>his register item No……………………………</t>
  </si>
  <si>
    <t>for the month of ………………………………</t>
  </si>
  <si>
    <t>ESTIMATE PREPARED BY :-</t>
  </si>
  <si>
    <t>Asstt. Engineer,</t>
  </si>
  <si>
    <t>Signature ………………………………………..</t>
  </si>
  <si>
    <t>ESTIMATE CHECKED BY   :-</t>
  </si>
  <si>
    <t>Signature ……………………………………..</t>
  </si>
  <si>
    <t xml:space="preserve">Deputy Engineer    </t>
  </si>
  <si>
    <t xml:space="preserve">Executive Engineer </t>
  </si>
  <si>
    <t xml:space="preserve">Suprintending Engineer </t>
  </si>
  <si>
    <t>Chief Engineer</t>
  </si>
  <si>
    <t>Total   Rs.</t>
  </si>
  <si>
    <t>ADD 5% CONTINGENCIES :-</t>
  </si>
  <si>
    <t xml:space="preserve">                                        </t>
  </si>
  <si>
    <t>Total Rs.</t>
  </si>
  <si>
    <t xml:space="preserve">NET </t>
  </si>
  <si>
    <t>Say Rs.</t>
  </si>
  <si>
    <t>(NET)</t>
  </si>
  <si>
    <t>Deputy Engineer,</t>
  </si>
  <si>
    <t xml:space="preserve"> PATALGANGA</t>
  </si>
  <si>
    <t xml:space="preserve">M &amp; R to Roads in Patalganga Industrial Area….   </t>
  </si>
  <si>
    <t>Attending pre-monsoon and during monsoon work, cleaning of road side built-up gutters, C. D. works etc.</t>
  </si>
  <si>
    <r>
      <t>ESTIMATED COST</t>
    </r>
    <r>
      <rPr>
        <b/>
        <sz val="12"/>
        <rFont val="Arial"/>
        <family val="2"/>
      </rPr>
      <t xml:space="preserve"> :-</t>
    </r>
  </si>
  <si>
    <t>SAY</t>
  </si>
  <si>
    <t>10,45,93,200.00</t>
  </si>
  <si>
    <t>(Net)</t>
  </si>
  <si>
    <t xml:space="preserve">     Deputy Engineer,</t>
  </si>
  <si>
    <t>M.I.D.C. Sub-Division</t>
  </si>
  <si>
    <t xml:space="preserve">    PATALGANGA</t>
  </si>
  <si>
    <r>
      <t xml:space="preserve">Patalganga Indl.Area....M &amp; R to W/ S/ Scheme ..                                                                                                                                                                                                </t>
    </r>
    <r>
      <rPr>
        <sz val="12"/>
        <rFont val="Arial"/>
        <family val="2"/>
      </rPr>
      <t xml:space="preserve"> Providing &amp; fixing 7 rows G.I. barbed wire fencing around Old  pure water sump at 54.00 MLD WTP.</t>
    </r>
  </si>
  <si>
    <t>ABSTRACT</t>
  </si>
  <si>
    <r>
      <t>ESTIMATED COST</t>
    </r>
    <r>
      <rPr>
        <sz val="12"/>
        <rFont val="Arial"/>
        <family val="2"/>
      </rPr>
      <t xml:space="preserve"> :-</t>
    </r>
  </si>
  <si>
    <t xml:space="preserve"> Providing &amp; fixing 7 rows G.I. barbed wire fencing around Old  pure water sump at 54.00 MLD WTP.</t>
  </si>
  <si>
    <t xml:space="preserve"> M&amp; R to Roads in  Patalganga Industrial Area…. ..   </t>
  </si>
  <si>
    <t xml:space="preserve">Providing &amp; fixing of MIDC layout &amp; MIDC name baord in Patalganga Industrial Area….   </t>
  </si>
  <si>
    <t>2,04,600.00</t>
  </si>
  <si>
    <t xml:space="preserve">Open excavation for road works, side gutters </t>
  </si>
  <si>
    <t>Gen/A/10</t>
  </si>
  <si>
    <t>For Parking Shed.</t>
  </si>
  <si>
    <t>3x2</t>
  </si>
  <si>
    <t>Class III L/S</t>
  </si>
  <si>
    <t>Class III S/S</t>
  </si>
  <si>
    <t>2x2</t>
  </si>
  <si>
    <t>For Plinth Protection Class IV L/S &amp; S/S</t>
  </si>
  <si>
    <t>Security Cabin</t>
  </si>
  <si>
    <t>Gen/B/7</t>
  </si>
  <si>
    <t xml:space="preserve">Removing tiled flooring in all types of tiling or flooring i.e. Shahabad, Kotah, Cement, ….. with all leads &amp; lifts.  </t>
  </si>
  <si>
    <t>Gen/B/8</t>
  </si>
  <si>
    <t>Bd/A/20</t>
  </si>
  <si>
    <t xml:space="preserve">(c) Providing and fixing hand cut Kottah stone flooring 20 mm thick using pre polished kottah stone, slabs of approved size, laying on 20 mm cement mortar bed 1:4, filling the joints with a mixture of cement slurry and pigments as required, curing, polishing, all labour &amp; materials etc. complete.              </t>
  </si>
  <si>
    <t>Bd/E/1</t>
  </si>
  <si>
    <t xml:space="preserve">Removing including rubbing down, washing cleaning with dry cloth etc. the existing white colour or lime wash or the distemper wash, including scaffolding and making the surface smooth by ordinary enamel putty, plaster of paris etc to receive white or colour washing etc. complete.                                </t>
  </si>
  <si>
    <t>Bd/E/10</t>
  </si>
  <si>
    <t xml:space="preserve">Removing and scrapping oil paint from wood work, ironwork, including knotting, scrapping, rubbing down, including sand papering sealing the cracks with putty, filling with enamel putty, flattening, rubbing and making the surface smooth to receive the paint.              </t>
  </si>
  <si>
    <t>Bd/E/14</t>
  </si>
  <si>
    <t>Providing and applying synthetic super enamel paint conforming to IS:2932–1991 of approved colour, including scaffolding if necessary and cleaning and preparing the surface, including primer coat etc. complete.</t>
  </si>
  <si>
    <t xml:space="preserve">Gen/F/1 </t>
  </si>
  <si>
    <t xml:space="preserve">Removing lime or cement plaster including disposing off the spoils as directed with all leads &amp; lifts.                                             
Provision for painting.
</t>
  </si>
  <si>
    <t>Class IV (Internal)</t>
  </si>
  <si>
    <t>Ceiling</t>
  </si>
  <si>
    <t>Living Room</t>
  </si>
  <si>
    <t>Kit.Room</t>
  </si>
  <si>
    <t>Passage</t>
  </si>
  <si>
    <t xml:space="preserve">Bath </t>
  </si>
  <si>
    <t>W.C.</t>
  </si>
  <si>
    <t>Staircsae Head Room Slab</t>
  </si>
  <si>
    <t>Mid Landing</t>
  </si>
  <si>
    <t>Waist Slab of Flight</t>
  </si>
  <si>
    <t>Total (a)</t>
  </si>
  <si>
    <t>Total (b)</t>
  </si>
  <si>
    <t>Bed Room</t>
  </si>
  <si>
    <t>Total (c)</t>
  </si>
  <si>
    <t>Total (d)</t>
  </si>
  <si>
    <t>Walls</t>
  </si>
  <si>
    <t>8x2</t>
  </si>
  <si>
    <t>Staircase Pardi</t>
  </si>
  <si>
    <t>2x4</t>
  </si>
  <si>
    <t>Staircase Cross Pardi</t>
  </si>
  <si>
    <t>Deductions</t>
  </si>
  <si>
    <t>D1</t>
  </si>
  <si>
    <t>D2</t>
  </si>
  <si>
    <t>D3</t>
  </si>
  <si>
    <t>W1</t>
  </si>
  <si>
    <t>Kitchen</t>
  </si>
  <si>
    <t>W2</t>
  </si>
  <si>
    <t>W3</t>
  </si>
  <si>
    <t>W4</t>
  </si>
  <si>
    <t>Front collapsible Gate</t>
  </si>
  <si>
    <t>Door Head Room</t>
  </si>
  <si>
    <t>Sliding Window</t>
  </si>
  <si>
    <t>Class IV (Building)</t>
  </si>
  <si>
    <t>Front side (L/w)</t>
  </si>
  <si>
    <t>Duct Offset</t>
  </si>
  <si>
    <t>Front Passage</t>
  </si>
  <si>
    <t>C/w</t>
  </si>
  <si>
    <t>Offset of Staircsae</t>
  </si>
  <si>
    <t>Back side</t>
  </si>
  <si>
    <t>Above Terrace</t>
  </si>
  <si>
    <t>Fins</t>
  </si>
  <si>
    <t>Staircase Head Room</t>
  </si>
  <si>
    <t>L/w</t>
  </si>
  <si>
    <t>S/w</t>
  </si>
  <si>
    <t>2x8</t>
  </si>
  <si>
    <t>Top &amp; Bottom</t>
  </si>
  <si>
    <t>Sides</t>
  </si>
  <si>
    <t>Front</t>
  </si>
  <si>
    <t>Chajja (Living Room sides)</t>
  </si>
  <si>
    <t>Chajja (Kit. Room sides)</t>
  </si>
  <si>
    <t>Kit W3 sides</t>
  </si>
  <si>
    <t>Chajja @ Terrace</t>
  </si>
  <si>
    <t>Staircase Chajja</t>
  </si>
  <si>
    <t>Parapet Wall (Inside )</t>
  </si>
  <si>
    <t>Parapet Wall (Top)</t>
  </si>
  <si>
    <t>C/side</t>
  </si>
  <si>
    <t xml:space="preserve">Top </t>
  </si>
  <si>
    <t>Bath &amp; W.C.</t>
  </si>
  <si>
    <t xml:space="preserve">Staircase </t>
  </si>
  <si>
    <t>D</t>
  </si>
  <si>
    <t>Class III/1  Building</t>
  </si>
  <si>
    <t>Front &amp; Back side (L/w)</t>
  </si>
  <si>
    <t>Column Offset</t>
  </si>
  <si>
    <t>Duct</t>
  </si>
  <si>
    <t>Head Room L/W</t>
  </si>
  <si>
    <t>Chajja (Bed Room sides)</t>
  </si>
  <si>
    <t>2x8x2</t>
  </si>
  <si>
    <t>Chajja Front sides</t>
  </si>
  <si>
    <t xml:space="preserve">Chajja above Cloumn </t>
  </si>
  <si>
    <t>Column @ Terrace</t>
  </si>
  <si>
    <t>8x2 x 1.125</t>
  </si>
  <si>
    <t>1x1.50</t>
  </si>
  <si>
    <t>Bath &amp; W.C. W3</t>
  </si>
  <si>
    <t>Class III/1</t>
  </si>
  <si>
    <t>W1(Grill)</t>
  </si>
  <si>
    <t>2 x 1.125</t>
  </si>
  <si>
    <t>Class III/2 &amp; 3</t>
  </si>
  <si>
    <t>Living Room, Bed &amp; Kit.</t>
  </si>
  <si>
    <t>16x3x2 x 1.125</t>
  </si>
  <si>
    <t>Living Room, Bed &amp; Kit. (W1)</t>
  </si>
  <si>
    <t>16x3</t>
  </si>
  <si>
    <t>Living Room, Bed &amp; Kit (W2</t>
  </si>
  <si>
    <t xml:space="preserve"> Kit (W3)</t>
  </si>
  <si>
    <t>2x1.50</t>
  </si>
  <si>
    <t>2x2x1.125</t>
  </si>
  <si>
    <t>WatchMen Cabin</t>
  </si>
  <si>
    <r>
      <t>1.</t>
    </r>
    <r>
      <rPr>
        <sz val="7"/>
        <rFont val="Times New Roman"/>
        <family val="1"/>
      </rPr>
      <t xml:space="preserve">    </t>
    </r>
    <r>
      <rPr>
        <sz val="12"/>
        <rFont val="Trebuchet MS"/>
        <family val="2"/>
      </rPr>
      <t>Front side = 2 X 101 X 1.50 = 303.00 m2</t>
    </r>
  </si>
  <si>
    <r>
      <t>2.</t>
    </r>
    <r>
      <rPr>
        <sz val="7"/>
        <rFont val="Times New Roman"/>
        <family val="1"/>
      </rPr>
      <t xml:space="preserve">    </t>
    </r>
    <r>
      <rPr>
        <sz val="12"/>
        <rFont val="Trebuchet MS"/>
        <family val="2"/>
      </rPr>
      <t>HSR road side = 2 X 43 X 1.50 = 129.00 m2</t>
    </r>
  </si>
  <si>
    <r>
      <t>3.</t>
    </r>
    <r>
      <rPr>
        <sz val="7"/>
        <rFont val="Times New Roman"/>
        <family val="1"/>
      </rPr>
      <t xml:space="preserve">    </t>
    </r>
    <r>
      <rPr>
        <sz val="12"/>
        <rFont val="Trebuchet MS"/>
        <family val="2"/>
      </rPr>
      <t>LHS = 2 X 102.40 X 1.50 = 307.200 m2</t>
    </r>
  </si>
  <si>
    <r>
      <t>4.</t>
    </r>
    <r>
      <rPr>
        <sz val="7"/>
        <rFont val="Times New Roman"/>
        <family val="1"/>
      </rPr>
      <t xml:space="preserve">    </t>
    </r>
    <r>
      <rPr>
        <sz val="12"/>
        <rFont val="Trebuchet MS"/>
        <family val="2"/>
      </rPr>
      <t>Gate = 2 X 7 X 2.5 = 35.000 m2</t>
    </r>
  </si>
  <si>
    <t>Total =  774.200 m2</t>
  </si>
  <si>
    <t xml:space="preserve">For MS grill over compound wall </t>
  </si>
  <si>
    <t>2.    HSR road side =</t>
  </si>
  <si>
    <t>1. Front side =</t>
  </si>
  <si>
    <t>3. LHS =</t>
  </si>
  <si>
    <t>4. Gate =</t>
  </si>
  <si>
    <t>Quantity same as per Item No. 4(B)</t>
  </si>
  <si>
    <t>Quantity same as per Item No. 12</t>
  </si>
  <si>
    <t xml:space="preserve">B] U.P.V.C pipes as rain water down take pipes ii) 110 mm diameter </t>
  </si>
  <si>
    <r>
      <rPr>
        <b/>
        <sz val="11"/>
        <rFont val="Bookman Old Style"/>
        <family val="1"/>
      </rPr>
      <t xml:space="preserve">M&amp;R TO W/S/S AT NAGOTHANE INDUSTRIAL AREA...                               REPAIRING &amp; PAINTING OF STAFF QUARTERS IN WTP COLONY AT NAGOTHANE
</t>
    </r>
    <r>
      <rPr>
        <sz val="11"/>
        <rFont val="Bookman Old Style"/>
        <family val="1"/>
      </rPr>
      <t xml:space="preserve">                                                                                                                               </t>
    </r>
  </si>
  <si>
    <t>12x2</t>
  </si>
  <si>
    <t>Class III (Internal)</t>
  </si>
  <si>
    <t>Class III  (Internal)</t>
  </si>
  <si>
    <t>Comman Passage @ Ist Floor &amp; IIst Floor</t>
  </si>
  <si>
    <t xml:space="preserve">Comman Passage @ Ground </t>
  </si>
  <si>
    <t>Comman Passage @ Ist Floor &amp; IInd Floor</t>
  </si>
  <si>
    <t xml:space="preserve">Comman Passage @ Ground,  </t>
  </si>
  <si>
    <t>Comman Passage   Ist,IInd &amp; IIIrd Floor</t>
  </si>
  <si>
    <t>2x5</t>
  </si>
  <si>
    <t xml:space="preserve">Comman Passage @ Ist floor </t>
  </si>
  <si>
    <t>M&amp;R TO W/S/S AT NAGOTHANE INDUSTRIAL AREA… REPAIRING &amp; PAITING OF STAFF QUARTERS IN WTP COLONY AT NAGOTHANE</t>
  </si>
  <si>
    <t>M&amp;R TO W/S/S AT NAGOTHANE INDUSTRIAL AREA…                                                             REPAIRING &amp; PAITING OF STAFF QUARTERS IN WTP COLONY AT NAGOTHANE</t>
  </si>
  <si>
    <t>For Plinth Protection Class III L/S &amp; S/S</t>
  </si>
  <si>
    <t>Add extra for front side</t>
  </si>
  <si>
    <t>Rate</t>
  </si>
  <si>
    <t>Amount</t>
  </si>
  <si>
    <t xml:space="preserve">Total (e) </t>
  </si>
  <si>
    <t xml:space="preserve">Qty as per item No. 4(B) = 1903 x 20% = 380.60 m² </t>
  </si>
  <si>
    <t>Class IV Add extra for Parapets</t>
  </si>
  <si>
    <t>Columns Footing LS provision</t>
  </si>
  <si>
    <t>Columns Pedestal  LS provision</t>
  </si>
  <si>
    <t xml:space="preserve">For Drainage </t>
  </si>
  <si>
    <t xml:space="preserve">For Kitchen otta </t>
  </si>
  <si>
    <t>Bd/A/13</t>
  </si>
  <si>
    <t>Providing and fixing black cuddapa polished stone sills or kitchen platforms, partitions of thickness varying from 25 to 30 mm over cement mortar bedding of 25 to 40 mm in 1:4 proportion including cutting, polishing the edges etc. all labour and materials complete.</t>
  </si>
  <si>
    <t xml:space="preserve">Class III </t>
  </si>
  <si>
    <t xml:space="preserve">Class IV </t>
  </si>
  <si>
    <t>Providing and fixing machine cut and machine polished granite stone facing to chajja, walls, canopy etc. including 12 mm thick cement plaster backing in cement mortar 1:3 including fixing hidden clamps as may be directed.</t>
  </si>
  <si>
    <t>Bd/A/24</t>
  </si>
  <si>
    <t>Flooring</t>
  </si>
  <si>
    <t>For Kitchen Platform</t>
  </si>
  <si>
    <t>Add 18%GST</t>
  </si>
  <si>
    <t>ALIBAG</t>
  </si>
  <si>
    <t xml:space="preserve">Considering 40% qty </t>
  </si>
  <si>
    <t>`</t>
  </si>
  <si>
    <t>Removing Dado</t>
  </si>
  <si>
    <t>Skirting</t>
  </si>
  <si>
    <t>a)</t>
  </si>
  <si>
    <t>Total ceiling Qty (a+b)</t>
  </si>
  <si>
    <t>b)</t>
  </si>
  <si>
    <t>Providing and laying ceramic tiles/antiskid ceramic tiles  ( Bell, Spartek, Johnson, Pedders, Kajaria,RAK etc). conforming to IS:13712-1993, of approved colour including cement float, filling the joints with matching colour, with pigments added to white cement slurry cleaning etc. complete.( Basic rate of tiles not less than Rs.600/- per Sqm.)</t>
  </si>
  <si>
    <t>(Rates excluding GST)</t>
  </si>
  <si>
    <t xml:space="preserve">a) Any size with approved design </t>
  </si>
  <si>
    <t>Bd/A/19</t>
  </si>
  <si>
    <t xml:space="preserve"> Qty. same as per item no. 2 </t>
  </si>
  <si>
    <t>i.e,</t>
  </si>
  <si>
    <t>c)</t>
  </si>
  <si>
    <t>d)</t>
  </si>
  <si>
    <t>External Plaster</t>
  </si>
  <si>
    <t>e)</t>
  </si>
  <si>
    <t>Total wall Qty. (c+d)</t>
  </si>
  <si>
    <t>Class III exteranal Plaster Qty.</t>
  </si>
  <si>
    <t>f)</t>
  </si>
  <si>
    <t>Class IV exteranal Plaster Qty.</t>
  </si>
  <si>
    <t>C</t>
  </si>
  <si>
    <t xml:space="preserve">Total area of Internal ceiling (A) </t>
  </si>
  <si>
    <t>Total area of Internal wall (B)</t>
  </si>
  <si>
    <t>Total area of External wall ( C)</t>
  </si>
  <si>
    <t>Total Area (A+B+C) = D</t>
  </si>
  <si>
    <t>Total External Plaster Qty. (e+f)</t>
  </si>
  <si>
    <t>B</t>
  </si>
  <si>
    <t>A</t>
  </si>
  <si>
    <t>Horizontal cuddapa1</t>
  </si>
  <si>
    <t>Horizontal cuddapa 2</t>
  </si>
  <si>
    <t>Vertical cuddapa 1</t>
  </si>
  <si>
    <t>Vertical cuddapa 2</t>
  </si>
  <si>
    <t>Horizontal cuddapa 1</t>
  </si>
  <si>
    <t>Total area of cuddapa (g+h)</t>
  </si>
  <si>
    <t>Add 10 % for offsets = 76.62 x 10% =</t>
  </si>
  <si>
    <t xml:space="preserve">a) 6 mm. thick single coat  </t>
  </si>
  <si>
    <t xml:space="preserve">ii) Using  Crushed  sand </t>
  </si>
  <si>
    <t>Qty as per item No. 3a+3b = 715 x40% =286.00</t>
  </si>
  <si>
    <t xml:space="preserve">b) 12 mm. thick single coat </t>
  </si>
  <si>
    <t>Qty as per item No. 3c+3d = 2268 x40% =907.20</t>
  </si>
  <si>
    <t xml:space="preserve">        </t>
  </si>
  <si>
    <t xml:space="preserve">c) 20 mm. thick two coats  </t>
  </si>
  <si>
    <t>Qty as per item No. 3e+3f = 1881 x40% =907.20</t>
  </si>
  <si>
    <t>For Bath flooring III</t>
  </si>
  <si>
    <t>For Bath flooring IV</t>
  </si>
  <si>
    <t>Gen/F/7</t>
  </si>
  <si>
    <t xml:space="preserve">Extra over items Gen / F / 1 to Gen / F / 6 for providing plastering to Ceiling. (Rates excluding GST) </t>
  </si>
  <si>
    <t>Internal ceiling III +IV (a+b)= 715</t>
  </si>
  <si>
    <t>Bd/E/6</t>
  </si>
  <si>
    <t>Providing and applying plastic emulsion paint conforming to IS:5411-1991 part I of superior quality of approved make, colour and shade to the old &amp; new surfaces in two coats over primers, including scaffolding, preparing the surfaces to receive the paint and applying putty etc. complete.</t>
  </si>
  <si>
    <t>Quantity same as per Item No. 4 (D)</t>
  </si>
  <si>
    <t>Quantity same as per Item No. 4(A+B ) = 3083</t>
  </si>
  <si>
    <t>Bd/E/8</t>
  </si>
  <si>
    <t xml:space="preserve">Add when the work for any of the above items is on ceiling. (Rates excluding GST)   </t>
  </si>
  <si>
    <t>Bd/E/20</t>
  </si>
  <si>
    <t>Providing and applying two coats of Exterior Acrylic paint of approved make and of approved colour to the plastered surfaces including cleaning, preparing the plaster surface, applying one coat of primer followed by two coats of exterior antifungal ,heat insulating exterier 100 % Acrylic paint  as per manufacturer's specifications, scaffolding if necessary, etc. complete. (Rates excluding GST)</t>
  </si>
  <si>
    <t>For ceiling</t>
  </si>
  <si>
    <t>For external wall</t>
  </si>
  <si>
    <t>Parking shed</t>
  </si>
  <si>
    <t>i.e. (3.00 cu.m x 70 Kg)</t>
  </si>
  <si>
    <t>For Ridges</t>
  </si>
  <si>
    <t>Bd/C/20</t>
  </si>
  <si>
    <t>Removing old existing down take water supply &amp; drainage pipe lines C.I. / G.I. / A.C. / PVC / HDPE pipes upto 150 mm dia. laid underground, horizontal &amp; on vertical walls including transporting, stacking the material at departmental stores for all lifts &amp; leads etc. complete as directed. (Rates excluding GST)</t>
  </si>
  <si>
    <t>b) above 50 mm and upto 150 mm dia.</t>
  </si>
  <si>
    <t>Gen/B/10</t>
  </si>
  <si>
    <t>Total Area = (i+j+k+m+n)</t>
  </si>
  <si>
    <t>Gen/J/5</t>
  </si>
  <si>
    <t xml:space="preserve">Providing and laying patented water proofing treatment for sanitary block using required thickness of brick bat and cement mortar 1:3 with proper levelling including mixing with cement mortar the patented water proofing material of approved manufacturer and finishing the surface including guarantee of 5 years for water tightness and effective function. </t>
  </si>
  <si>
    <t xml:space="preserve">[Note: Item to be operated with prior approval of CE] </t>
  </si>
  <si>
    <t>Bd/F/9</t>
  </si>
  <si>
    <t>Providing and fixing of 25 mm dia CP half turn flush valve of best quality with all types of fixtures including transport and labour charges etc. complete.</t>
  </si>
  <si>
    <t>Providing and fixing ‘Orissa’ type white glazed Porcelain ware water closet pan  conforming to IS 2556-1994 of approved quality, including ‘P’ or ‘S’ trap outlet, inlet, connections through walls, trap etc.</t>
  </si>
  <si>
    <t>Bd/F/14</t>
  </si>
  <si>
    <t>580 mm x 400 mm</t>
  </si>
  <si>
    <t>Bd/F/12</t>
  </si>
  <si>
    <t>Providing and fixing European type commode conforming to IS:2556 -1994 (Part-II) latest edition with PVC. Double seat cover commode or equivalent including outlet, inter connections through walls including all fittings etc. complete.</t>
  </si>
  <si>
    <t>Bd/F/4</t>
  </si>
  <si>
    <t>Providing and fixing white glazed porcelain ware wash hand basin, conforming to IS:2556 (Part IV) 1994 with nickel / chrome plated fittings inlet and outlet connection, nickel plated pillar cock, down take GI pipes with C. P. bottle trap (with concealed nut bolt) cutting out in for below CI brackets etc. complete</t>
  </si>
  <si>
    <t>a) Flat back washbasin size 630 x 450 mm with single15 mm CP brass pillar tap -1 No.</t>
  </si>
  <si>
    <t xml:space="preserve">a) in white colour.           </t>
  </si>
  <si>
    <t>Class III Bath</t>
  </si>
  <si>
    <t>Class III Toilet</t>
  </si>
  <si>
    <t>Class IV Bath</t>
  </si>
  <si>
    <t>Class IV Toilet</t>
  </si>
  <si>
    <r>
      <t>m</t>
    </r>
    <r>
      <rPr>
        <sz val="11"/>
        <rFont val="Andalus"/>
        <family val="1"/>
      </rPr>
      <t>³</t>
    </r>
  </si>
  <si>
    <r>
      <t>m</t>
    </r>
    <r>
      <rPr>
        <sz val="11"/>
        <rFont val="Andalus"/>
        <family val="1"/>
      </rPr>
      <t>²</t>
    </r>
  </si>
  <si>
    <r>
      <t>m</t>
    </r>
    <r>
      <rPr>
        <b/>
        <sz val="11"/>
        <rFont val="Andalus"/>
        <family val="1"/>
      </rPr>
      <t>²</t>
    </r>
  </si>
  <si>
    <r>
      <t>m</t>
    </r>
    <r>
      <rPr>
        <b/>
        <sz val="11"/>
        <rFont val="Andalus"/>
        <family val="1"/>
      </rPr>
      <t xml:space="preserve">² </t>
    </r>
  </si>
  <si>
    <r>
      <t>m</t>
    </r>
    <r>
      <rPr>
        <b/>
        <sz val="11"/>
        <rFont val="Andalus"/>
        <family val="1"/>
      </rPr>
      <t>² (a)</t>
    </r>
  </si>
  <si>
    <r>
      <t>m</t>
    </r>
    <r>
      <rPr>
        <b/>
        <sz val="11"/>
        <rFont val="Andalus"/>
        <family val="1"/>
      </rPr>
      <t>² (b)</t>
    </r>
  </si>
  <si>
    <r>
      <t>m</t>
    </r>
    <r>
      <rPr>
        <b/>
        <sz val="11"/>
        <rFont val="Andalus"/>
        <family val="1"/>
      </rPr>
      <t>² (c)</t>
    </r>
  </si>
  <si>
    <r>
      <t>m</t>
    </r>
    <r>
      <rPr>
        <b/>
        <sz val="11"/>
        <rFont val="Andalus"/>
        <family val="1"/>
      </rPr>
      <t>² (d)</t>
    </r>
  </si>
  <si>
    <r>
      <t>m</t>
    </r>
    <r>
      <rPr>
        <b/>
        <sz val="11"/>
        <rFont val="Andalus"/>
        <family val="1"/>
      </rPr>
      <t>² (e)</t>
    </r>
  </si>
  <si>
    <r>
      <t>m</t>
    </r>
    <r>
      <rPr>
        <b/>
        <sz val="11"/>
        <rFont val="Andalus"/>
        <family val="1"/>
      </rPr>
      <t>² (f)</t>
    </r>
  </si>
  <si>
    <r>
      <t>m</t>
    </r>
    <r>
      <rPr>
        <b/>
        <sz val="11"/>
        <rFont val="Andalus"/>
        <family val="1"/>
      </rPr>
      <t>³</t>
    </r>
  </si>
  <si>
    <r>
      <t>m</t>
    </r>
    <r>
      <rPr>
        <b/>
        <sz val="11"/>
        <rFont val="Andalus"/>
        <family val="1"/>
      </rPr>
      <t>³ (g)</t>
    </r>
  </si>
  <si>
    <r>
      <t>m</t>
    </r>
    <r>
      <rPr>
        <b/>
        <sz val="11"/>
        <rFont val="Andalus"/>
        <family val="1"/>
      </rPr>
      <t>³ (h)</t>
    </r>
  </si>
  <si>
    <r>
      <t xml:space="preserve">Providing and laying in position </t>
    </r>
    <r>
      <rPr>
        <b/>
        <i/>
        <sz val="11"/>
        <rFont val="Bookman Old Style"/>
        <family val="1"/>
      </rPr>
      <t>plain cement concrete</t>
    </r>
    <r>
      <rPr>
        <i/>
        <sz val="11"/>
        <rFont val="Bookman Old Style"/>
        <family val="1"/>
      </rPr>
      <t xml:space="preserve"> </t>
    </r>
    <r>
      <rPr>
        <sz val="11"/>
        <rFont val="Bookman Old Style"/>
        <family val="1"/>
      </rPr>
      <t xml:space="preserve">using granite or black trap graded metal including mixing in a mechanically operated mixer, </t>
    </r>
    <r>
      <rPr>
        <b/>
        <sz val="11"/>
        <rFont val="Bookman Old Style"/>
        <family val="1"/>
      </rPr>
      <t xml:space="preserve">A) With Natural Sand  c) In 1:2:4 proportion.    </t>
    </r>
    <r>
      <rPr>
        <sz val="11"/>
        <rFont val="Bookman Old Style"/>
        <family val="1"/>
      </rPr>
      <t xml:space="preserve">           </t>
    </r>
  </si>
  <si>
    <r>
      <t xml:space="preserve">Providing plaster in cement mortar in 1:3 with neeru finishing to concrete or masonry surface in all position including scaffolding and curing complete. </t>
    </r>
    <r>
      <rPr>
        <b/>
        <sz val="11"/>
        <rFont val="Bookman Old Style"/>
        <family val="1"/>
      </rPr>
      <t xml:space="preserve">  </t>
    </r>
    <r>
      <rPr>
        <sz val="11"/>
        <rFont val="Bookman Old Style"/>
        <family val="1"/>
      </rPr>
      <t xml:space="preserve">     </t>
    </r>
  </si>
  <si>
    <r>
      <t>Providing sand faced plaster (sponged external) in cement mortar 1:3 in all positions including base coat scaffolding, keeping the surface of base coat rough to receive sand faced treatment, curing etc. complete.</t>
    </r>
    <r>
      <rPr>
        <b/>
        <sz val="11"/>
        <rFont val="Bookman Old Style"/>
        <family val="1"/>
      </rPr>
      <t xml:space="preserve"> b) 20 mm thick two coats           </t>
    </r>
    <r>
      <rPr>
        <sz val="11"/>
        <rFont val="Bookman Old Style"/>
        <family val="1"/>
      </rPr>
      <t xml:space="preserve">                    </t>
    </r>
  </si>
  <si>
    <r>
      <t>m</t>
    </r>
    <r>
      <rPr>
        <b/>
        <sz val="11"/>
        <rFont val="Andalus"/>
        <family val="1"/>
      </rPr>
      <t>² (i)</t>
    </r>
  </si>
  <si>
    <r>
      <t>m</t>
    </r>
    <r>
      <rPr>
        <b/>
        <sz val="11"/>
        <rFont val="Andalus"/>
        <family val="1"/>
      </rPr>
      <t>² (j)</t>
    </r>
  </si>
  <si>
    <r>
      <t>m</t>
    </r>
    <r>
      <rPr>
        <b/>
        <sz val="11"/>
        <rFont val="Andalus"/>
        <family val="1"/>
      </rPr>
      <t>² (k)</t>
    </r>
  </si>
  <si>
    <r>
      <t>m</t>
    </r>
    <r>
      <rPr>
        <b/>
        <sz val="11"/>
        <rFont val="Andalus"/>
        <family val="1"/>
      </rPr>
      <t>² (m)</t>
    </r>
  </si>
  <si>
    <r>
      <t>m</t>
    </r>
    <r>
      <rPr>
        <b/>
        <sz val="11"/>
        <rFont val="Andalus"/>
        <family val="1"/>
      </rPr>
      <t>² (n)</t>
    </r>
  </si>
  <si>
    <t xml:space="preserve">L.S. </t>
  </si>
  <si>
    <t xml:space="preserve">For Kitchen Otta Class III </t>
  </si>
  <si>
    <t>for Weather Shed</t>
  </si>
  <si>
    <t>Name and Designation :   -    Alat A A Assistant Engineer</t>
  </si>
  <si>
    <t>Name and Designation :- S.A.Kumbhar</t>
  </si>
  <si>
    <t>REPAIRING &amp; PAITING OF STAFF QUARTERS IN WTP COLONY AT NAGOTHANE</t>
  </si>
  <si>
    <t xml:space="preserve"> Qty. same as per item no. 2  Excluding Plinth Protection </t>
  </si>
  <si>
    <t>For Plinth Protection As per Item no.2 (I)</t>
  </si>
  <si>
    <t>(I)</t>
  </si>
  <si>
    <t>(D)</t>
  </si>
  <si>
    <t xml:space="preserve">a) 6 mm. thick single coat for ceiling  </t>
  </si>
  <si>
    <t xml:space="preserve">b) 12 mm. thick single coat for wall  </t>
  </si>
  <si>
    <t>Internal ceiling  III +IV (a+b) 40%= 286</t>
  </si>
  <si>
    <t>Class III Bath Ground Floor only</t>
  </si>
  <si>
    <t xml:space="preserve">Columns Footing </t>
  </si>
  <si>
    <t xml:space="preserve">Columns Pedestal </t>
  </si>
  <si>
    <t>A] U.P.V.C pipes as drainage lines</t>
  </si>
  <si>
    <t xml:space="preserve">i) 75 mm diameter           </t>
  </si>
  <si>
    <t xml:space="preserve">ii) 110 mm diameter         </t>
  </si>
  <si>
    <t>Class 4  Quarter for WC</t>
  </si>
  <si>
    <t xml:space="preserve">Class 3 Quarter for kitchen &amp; Bathroom </t>
  </si>
  <si>
    <t xml:space="preserve">Class 4  Quarter for kitchen &amp; Bathroom </t>
  </si>
  <si>
    <t xml:space="preserve">Class 3 Quarter for WC </t>
  </si>
  <si>
    <t xml:space="preserve">Providing Waterproofing Treatment to existing Toilet bathroom. by using Polymeric cementitious membrane of approved make by replacing the existing waterproofing treatment. Remove the entire existing I.P.S/ Tiling.Remove  existing  entire  Brick bat coba .Clean the entire existing surface by wire brush. Open the cracks and make V groove &amp; fill in polymer modified mortar . Grout the honey comb/ corners of sunken slab with cement slurry if required. Clean the entire surface thoroughly  and apply three coats of  polymeric cementitious waterproofing solution.  The  polymeric Cementitious waterproofing coating shall be a non-toxic, 2-(methoxycarbonyl)-1-propene-Butyl-2 propenoate (MPBP) based polymeric waterproofing solution . Mix 1 part of 2-(methoxycarbonyl)-1-propene-Butyl-2 propenoate (MPBP) membrane  or equivalent and 0.30 part of  cement by weight using a low speed mechanical stirrer to form slurry lump free consistency.Allow the polymeric waterproofing coating  to cure &amp; over this provide  Average112 mm thick BB coba to receive further finishing.The contractor shall give gaurantee of minimum 5 years on stamp paper </t>
  </si>
  <si>
    <t>Gen/J/20</t>
  </si>
  <si>
    <t>Bd/F/19</t>
  </si>
  <si>
    <t>Providing and fixing PVC flushing tank for urinals conforming to IS: 2326-1987 including  all necessary fittings supporting brackets, inlet connection including screw down cock and outlet connection of 32 mm diameter bore of   3.5 mm thick PVC outlet connection up to urinal, painting etc. complete.</t>
  </si>
  <si>
    <t xml:space="preserve">a) 10 litre capacity.     </t>
  </si>
  <si>
    <t xml:space="preserve">For Kitchen Otta Class IV </t>
  </si>
  <si>
    <t>B) Using Crushed Sand</t>
  </si>
  <si>
    <r>
      <t>Providing sand faced plaster (sponged external) in cement mortar 1:3 in all positions including base coat scaffolding, keeping the surface of base coat rough to receive sand faced treatment, curing etc. complete.</t>
    </r>
    <r>
      <rPr>
        <b/>
        <sz val="11"/>
        <rFont val="Bookman Old Style"/>
        <family val="1"/>
      </rPr>
      <t xml:space="preserve"> </t>
    </r>
    <r>
      <rPr>
        <sz val="11"/>
        <rFont val="Bookman Old Style"/>
        <family val="1"/>
      </rPr>
      <t xml:space="preserve">       </t>
    </r>
  </si>
  <si>
    <t xml:space="preserve">b) 20 mm thick two coats                        </t>
  </si>
  <si>
    <t xml:space="preserve">b) In 1:2:4 proportion.    </t>
  </si>
  <si>
    <r>
      <t xml:space="preserve">Providing and laying in position </t>
    </r>
    <r>
      <rPr>
        <b/>
        <i/>
        <sz val="11"/>
        <rFont val="Bookman Old Style"/>
        <family val="1"/>
      </rPr>
      <t>plain cement concrete</t>
    </r>
    <r>
      <rPr>
        <i/>
        <sz val="11"/>
        <rFont val="Bookman Old Style"/>
        <family val="1"/>
      </rPr>
      <t xml:space="preserve"> </t>
    </r>
    <r>
      <rPr>
        <sz val="11"/>
        <rFont val="Bookman Old Style"/>
        <family val="1"/>
      </rPr>
      <t xml:space="preserve">using granite or black trap graded metal including mixing in a mechanically operated mixer, </t>
    </r>
    <r>
      <rPr>
        <sz val="11"/>
        <rFont val="Bookman Old Style"/>
        <family val="1"/>
      </rPr>
      <t xml:space="preserve">      </t>
    </r>
  </si>
  <si>
    <t>Bd/A/1</t>
  </si>
  <si>
    <t xml:space="preserve">Providing and laying rough Shahabad stone paving (25 mm to 30 mm thick and  300 mm to 600 mm IN SIZE) in plain and/or diamond pattern on mortar bed of cement mortar 25mm thick, including cement float, cement pointing 1:3 curing and cleaning etc. complete (finished size of rough Shahabad stone 400 mm x 550 mm or 550 mm x 550 mm) </t>
  </si>
  <si>
    <t>a) 1:4 cement mortar.</t>
  </si>
  <si>
    <t>Qty as per item No. 5a+5b = 715 x40% =286.00</t>
  </si>
  <si>
    <t>Qty as per item No. 5(B) = 1881 x 40% =752.40</t>
  </si>
  <si>
    <t xml:space="preserve">Quantity same as per Item No. 5(A+B ) = </t>
  </si>
  <si>
    <t>Quantity same as per Item No. 5(B)</t>
  </si>
  <si>
    <t>Quantity same as per Item No. 13</t>
  </si>
  <si>
    <t>Total (A)</t>
  </si>
  <si>
    <t xml:space="preserve">Total ( C ) </t>
  </si>
  <si>
    <t>Total = A + B +C</t>
  </si>
  <si>
    <t>Providing internal cement plaster 20mm. thick in Single coats in cement mortar 1:3 without neeru finish, to concrete, brick surface, in all positions including scaffolding and curing etc. complete.</t>
  </si>
  <si>
    <t xml:space="preserve">b) 20 mm. thick single coat for wall  </t>
  </si>
  <si>
    <t>Providing sand faced plaster externally in cement mortar using approved screened sand, in all positions  including  base  coat  of  15  mm  thick  in  cement  mortar  1:4  using  waterproofing compound at 1Kilogramper cement bag curing the same for not less than 2 days and keeping the  surface  of  the  base  coat  rough  to  receive  the  sand  faced  treatment  6  to  8  mm thick  in cement  mortar  1:4  finishing  the  surface  by  taking  out  grains  and  curing  for  fourteen  days scaffolding etc.complete.</t>
  </si>
  <si>
    <t>Providing, fabricating and erecting at site of work the tubular steel structure (shed) as per standard design and specifications having various spans in between trusses and in multiples of standard length of bays as specified as per standard specifications, inclusive of cost of steel tubular trusses, tubular columns purlins, tie runners, foundation bolts, base plates, nuts and bolts, welding wherever required etc. as per detailed drawing inclusive of one coat of anticorrosive paint and two coats of oil painting of approved quality and shade etc. complete. Spec. One Number : As directed by Engineer-in-charge.</t>
  </si>
  <si>
    <t>Providingand fixingcolour coated Zincalume( R ) AZ150 ( min 150 gms/sq.mt.total oneachside)profiled sheets for roofing.The feed material is manufactured out of nominal 0.45mm Base Metal Thickness (BMT) (0.5mm TCT), Hi-strength steel with min.550 M Pay ield strength, metallic hot dip coated with Aluminium-Zinc alloy (55% aluminium 43.4%zinc 1.6% silicon) with COLORBOND (R)steel quality super durable polyester paint coat (withinorganic pigment). The paint shall have a total coating thickness of nominal 35 um,comprising of nominal 25 um exterior coat on top surface and nominal 10 um reverse coat on back surface. Profile sheet shall have nom. 950 1050 mm effective cover width and nominal 25-30mmdeep ribs with subtle square fluting in the five panat nominal180-250 mm center-to-center. Theend rib shall be designed for anti-capillary groove. and return leg. The feedmaterialshouldhavecoil manufacture rsproduct detailsmarkeda regular interval. Including fasteners with min. fastened withmin. 25 um Zinc-Tin alloy coated, Hex head, self-drilling screwetc. complete. (weight of profile 4.52 Kilogram/ One Square Metre)</t>
  </si>
  <si>
    <t>No</t>
  </si>
  <si>
    <t>MAHARASHTRA INDUSTRIAL DEVELOPMENT CORPORATION</t>
  </si>
  <si>
    <t xml:space="preserve">E S T I M A T E </t>
  </si>
  <si>
    <t>Name of work  :</t>
  </si>
  <si>
    <t>Estimated cost :</t>
  </si>
  <si>
    <t>Net  Rs.</t>
  </si>
  <si>
    <t>Gross  Rs.</t>
  </si>
  <si>
    <t>Ref. to Adm. Approval :</t>
  </si>
  <si>
    <t>Tech. Sanction  :</t>
  </si>
  <si>
    <t>Net.</t>
  </si>
  <si>
    <t>granted by</t>
  </si>
  <si>
    <t xml:space="preserve">Vide Register Item No. </t>
  </si>
  <si>
    <t>for the month of    ____________    2026    .</t>
  </si>
  <si>
    <t>Estimate prepared by :</t>
  </si>
  <si>
    <t>Name &amp; Designation :</t>
  </si>
  <si>
    <t>Shri. Jadhav R.D</t>
  </si>
  <si>
    <t>Signature  :</t>
  </si>
  <si>
    <t>Jn. Engr.</t>
  </si>
  <si>
    <t>Checked by  :</t>
  </si>
  <si>
    <t>Shri. Rahpade .V</t>
  </si>
  <si>
    <t>OSD</t>
  </si>
  <si>
    <t>Deputy Engineer</t>
  </si>
  <si>
    <t>Shri.Kumbhar S.A</t>
  </si>
  <si>
    <t>Dy. Engr.</t>
  </si>
  <si>
    <t>Executive Engineer</t>
  </si>
  <si>
    <t>Shri. Shelar V.P</t>
  </si>
  <si>
    <t>E. Engr.</t>
  </si>
  <si>
    <t>Superintending Engineer</t>
  </si>
  <si>
    <t>Shri. Rakshe S.L</t>
  </si>
  <si>
    <t>S. Engr.</t>
  </si>
  <si>
    <t>Cost Estimate :</t>
  </si>
  <si>
    <t>Rs</t>
  </si>
  <si>
    <t>Testing</t>
  </si>
  <si>
    <t>Add 5% for Contingencies</t>
  </si>
  <si>
    <t xml:space="preserve">Add 18% for GST </t>
  </si>
  <si>
    <t>Labour Insurance 1 %</t>
  </si>
  <si>
    <t>Say Net Amount</t>
  </si>
  <si>
    <t>(N)</t>
  </si>
  <si>
    <t xml:space="preserve"> Deputy Engineer &amp; PA-I</t>
  </si>
  <si>
    <t>MIDC,DIVISION,ALIBAG.</t>
  </si>
  <si>
    <t>MEASUREMENTS AND ABSTRACT</t>
  </si>
  <si>
    <t xml:space="preserve">Sub Estimate - III : Testing of Material </t>
  </si>
  <si>
    <t>Sr. No.</t>
  </si>
  <si>
    <t xml:space="preserve">Name of Test </t>
  </si>
  <si>
    <t>Testing Frequency</t>
  </si>
  <si>
    <t>Req. no.of Tests</t>
  </si>
  <si>
    <t>Rate / 1 Test</t>
  </si>
  <si>
    <t>Total QC Testing charges</t>
  </si>
  <si>
    <t>1</t>
  </si>
  <si>
    <r>
      <rPr>
        <b/>
        <sz val="11"/>
        <color theme="1"/>
        <rFont val="Bookman Old Style"/>
        <family val="1"/>
      </rPr>
      <t>BASIC TEST OF CEMENT :</t>
    </r>
    <r>
      <rPr>
        <sz val="10"/>
        <rFont val="Bookman Old Style"/>
        <family val="1"/>
      </rPr>
      <t xml:space="preserve"> Standard Consistancy, Fineness, Specific Gravity, Setting Time ( Initial &amp; Final ), Compressive Strength, Soundness</t>
    </r>
  </si>
  <si>
    <t>1 Test per 150 MT</t>
  </si>
  <si>
    <r>
      <rPr>
        <b/>
        <sz val="11"/>
        <color theme="1"/>
        <rFont val="Bookman Old Style"/>
        <family val="1"/>
      </rPr>
      <t xml:space="preserve">BASIC TEST OF AGGREGATE : </t>
    </r>
    <r>
      <rPr>
        <sz val="10"/>
        <rFont val="Bookman Old Style"/>
        <family val="1"/>
      </rPr>
      <t>Sieve Analysis</t>
    </r>
  </si>
  <si>
    <t xml:space="preserve">1 Test per 200 Cum </t>
  </si>
  <si>
    <r>
      <rPr>
        <b/>
        <sz val="11"/>
        <color theme="1"/>
        <rFont val="Bookman Old Style"/>
        <family val="1"/>
      </rPr>
      <t xml:space="preserve">FINE AGGREGATE </t>
    </r>
    <r>
      <rPr>
        <sz val="10"/>
        <rFont val="Bookman Old Style"/>
        <family val="1"/>
      </rPr>
      <t>:  Sieve Analysis,Silt &amp; Clay Conten</t>
    </r>
  </si>
  <si>
    <t>1 Test per Source</t>
  </si>
  <si>
    <r>
      <rPr>
        <b/>
        <sz val="11"/>
        <color theme="1"/>
        <rFont val="Bookman Old Style"/>
        <family val="1"/>
      </rPr>
      <t xml:space="preserve">CONCRETE : </t>
    </r>
    <r>
      <rPr>
        <sz val="10"/>
        <rFont val="Bookman Old Style"/>
        <family val="1"/>
      </rPr>
      <t>Compressive Strength OF C.C. Cube (Set of 3 cubes).</t>
    </r>
  </si>
  <si>
    <t>a) Upto 5 cum.-1 Set.
b) 6 to 15 cum-2Sets
c) 16 to 30 cum-3Sets.
d) 31 to 50 cum-4Sets.
e) 51 &amp; above- 4Plus   additional set for every additional  50 Cum</t>
  </si>
  <si>
    <t xml:space="preserve">M 15 </t>
  </si>
  <si>
    <t xml:space="preserve">Removing lime or cement plaster including disposing off the spoils as directed with all leads &amp; lifts.             Provision for painting.
</t>
  </si>
  <si>
    <t>Total  ( B )</t>
  </si>
  <si>
    <t>m2</t>
  </si>
  <si>
    <t xml:space="preserve">For external wall </t>
  </si>
  <si>
    <t xml:space="preserve">Nagothane Industrial Area ....M&amp;R to W/S/S ...   Repairs , Painting &amp; Micellaneous work  to Class-IV Staff Quarters at WTP Colony, Nagothane.
                                                                                                                               </t>
  </si>
  <si>
    <t>Excavation for foundation in earth, soil of all types, sand, gravel and soft murum, including removing  the  excavated  material  up  to  a  distance  of  50  m.  beyond  the  building  area  and stacking  and  spreading  as  directed,  dewatering,  preparing  the  bed  for  the  foundation  and necessary back filling, ramming, watering including shoring and strutting etc. complete. (Lift upto 1.5 m.) By Mechanical Means</t>
  </si>
  <si>
    <t>Dado</t>
  </si>
  <si>
    <t>Deduction</t>
  </si>
  <si>
    <t>Providing and laying ceramic tiles  having size 30 cm. x 45 cm. confirming to corresponding I.S. for dado and skirting in required position with readymade adhesive mortar of approved quality on plaster of 1:2 cement mortar including joint filling with white/ colour cement slurry cleaning curing etc. complete.</t>
  </si>
  <si>
    <t xml:space="preserve">For Kitchen otta Class IV </t>
  </si>
  <si>
    <t>Total ( A )</t>
  </si>
  <si>
    <t>Total ( B )</t>
  </si>
  <si>
    <t>Total (A + B )</t>
  </si>
  <si>
    <t>Consider 80 %</t>
  </si>
  <si>
    <t>Providing and laying chequered tiles of approved quality  of size 30 cm x 30 cm, confirming to  corresponding  I.S.  for  flooring  in  required  position  laid  on  a  bed  of  1:4  cement  mortar including cement float, filling joint with cement slurry cleaning curing etc. complete.</t>
  </si>
  <si>
    <t xml:space="preserve"> 12 kg per m2</t>
  </si>
  <si>
    <t>9.00 x 23.00 = 207 m2</t>
  </si>
  <si>
    <t>Removing urinal pans or wash hand basins with frame including disconnecting the sanitary and water supply connections, removing the same carefully and stacking the serviceable materials as and where directed including throwing the unserviceable materials outside etc complete</t>
  </si>
  <si>
    <t>Removing  W.C.  pans  including  disconnecting  the  sanitary  and  water  supply  connections, removing and breaking flooring and bed con-crete around pan removing  the same carefully and   stacking  the  serviceable  materials  as  adn   where  directed   including  throwing  the unserviceable  materiasls  out  side  etc.  carefully  and  throwing  out  the  refusal  outside  etc. complete.</t>
  </si>
  <si>
    <t>Providing and fixing  wall hung white wash basin of size  550 x 400 x 195 mm with  pillar cock  having flow rate up to 6.0 Litr/Minute,C.P.Angular stop cock long thread  of Jaquar/Cera/Hindware /Perryware or equivalent  make,   including SS bottal trap of approved make etc complete as directed by Engineer in charge.( Make shall conform to manufacturer's Green product and shall got approved from the Engineer In Charge.)</t>
  </si>
  <si>
    <t>Providing and fixing  Orissa Pan of size 580x445x260 mm with approved make flush valve including trap, C.I. soil and  vent pipe upto outside face of  wall including 100mm dia.  C.I. plug, bend and necessary pipe connection, etc complete. As directed by Engineer in charge.</t>
  </si>
  <si>
    <t>Removing  earthen,  stonewate  pipe  and  stacking  them  as  directed  with  all  leads,  lifts  etc. complete.</t>
  </si>
  <si>
    <t>RM</t>
  </si>
  <si>
    <t>Class IV</t>
  </si>
  <si>
    <t>For West Pipe</t>
  </si>
  <si>
    <t>Providing and fixing on walls/ ceiling/ floor 25 mm dia. CPVC pipe with necessary fittings, remaking good the demolished portion etc. complete. Including removing existing pipe line if necessary and conveying and stacking the same in PWD chowky or as directed etc. complete.</t>
  </si>
  <si>
    <t xml:space="preserve"> water  Supply pipe</t>
  </si>
  <si>
    <t>Providing and fixing on walls/ ceiling/ floor 15 mm dia. CPVC pipe with necessary fittings, remaking good the demolished portion etc. complete. Including removing existing pipe line if necessary and conveying and stacking the same in PWD chowky or as directed etc. complete.</t>
  </si>
  <si>
    <t xml:space="preserve">Water Connection in Wc  , Bath ,  Utility Area </t>
  </si>
  <si>
    <t>Providing and fixing 15 mm dia. screw down bib/ stop tap of brass including necessary socket union nut complete.</t>
  </si>
  <si>
    <t>for Toilet block</t>
  </si>
  <si>
    <t>Providing and fixing white glazed earthenware lipped flat back/corner type Urinal with PVC 5 liters flushing cistern with fittings, inlet pipe with stop tap, brackets for fixing the cistern, 32 mm diameter P.V.C. flush pipe with fitting including lead soil pipe, lead trap and soil pipe connection up to the outside face of wall.</t>
  </si>
  <si>
    <t>For Toilet block</t>
  </si>
  <si>
    <t>Providing    and    fixing    15    cm    rigid    PVC    Nahani    trap    including    PVC    grating ,bend,connectingpiece  of  UPVC  pipe  up  to  the  outside  face  of  wall  ,making  the  good damaged surface and testing etc. complete ( Prior approval of sample and brand by Ex. Engr. is necessary before use)</t>
  </si>
  <si>
    <t>Providing and fixing H.D.P container one piece moulded water tank made out of high density polythyler and built corrugated inclusive of delivery up to destination hoisting and fixing of accessories such as inlet,outlet overflow pipe inclusive of all tanks capacity between 200 to 1000 liters</t>
  </si>
  <si>
    <t>Lit</t>
  </si>
  <si>
    <t xml:space="preserve"> class IV quarters</t>
  </si>
  <si>
    <r>
      <t xml:space="preserve"> Providing,layingand fixing,j ointing </t>
    </r>
    <r>
      <rPr>
        <b/>
        <sz val="11"/>
        <color theme="1"/>
        <rFont val="Bookman Old Style"/>
        <family val="1"/>
      </rPr>
      <t>Eco-drain</t>
    </r>
    <r>
      <rPr>
        <sz val="11"/>
        <color theme="1"/>
        <rFont val="Bookman Old Style"/>
        <family val="1"/>
      </rPr>
      <t xml:space="preserve"> 160 mm SN4N u-Drain Upvc pipes or  of equivalent make ,manufacture as perEN13476 or equivalent as per I.S.15328 with  fittings such a bends, tees , coupler, etc, jointingwith rubber lubricant including  necessary excavation, trench refilling with selective excavated materialetc. complete.</t>
    </r>
  </si>
  <si>
    <t xml:space="preserve">42.10
</t>
  </si>
  <si>
    <t>M3</t>
  </si>
  <si>
    <t>Post Base</t>
  </si>
  <si>
    <t xml:space="preserve"> Dado W.C.</t>
  </si>
  <si>
    <t>Ladies comman room</t>
  </si>
  <si>
    <t>Dado WC</t>
  </si>
  <si>
    <t>Providing Water proofing Treatment to existing Toilet bathroom. by using Polymeric cementitious membrane of approved make by replacing the existing waterproofing treatment. Remove the entire existing I.P.S/ Tiling.Remove  existing  entire  Brick bat coba .Clean the entire existing surface by wire brush. Open the cracks and make V groove &amp; fill in polymer modified mortar . Grout the honey comb/ corners of sunken slab with cement slurry if required. Clean the entire surface thoroughly  and apply three coats of  polymeric cementitious waterproofing solution.  The  polymeric Cementitious waterproofing coating shall be a non-toxic, 2-(methoxycarbonyl)-1-propene-Butyl-2 propenoate (MPBP) based polymeric waterproofing solution . Mix 1 part of 2-(methoxycarbonyl)-1-propene-Butyl-2 propenoate (MPBP) membrane  or equivalent and 0.30 part of  cement by weight using a low speed mechanical stirrer to form slurry lump free consistency.Allow the polymeric waterproofing coating  to cure &amp; over this provide  Average112 mm thick BB coba to receive further finishing.The contractor shall give gaurantee of minimum 5 years on stamp paper (Rates excluding GST)</t>
  </si>
  <si>
    <t xml:space="preserve">Class IV Bath Ground Floor </t>
  </si>
  <si>
    <t>say</t>
  </si>
  <si>
    <t>Consider 50 % damaged</t>
  </si>
  <si>
    <t>Lowering down the debris obtained  from breaking and removing the cement plaster / burnt brick masonry of the first floor by any means without causing dust nuisance and damage to structure, stacking the same as and where directed including cleaning the site complete.</t>
  </si>
  <si>
    <t>Removing  doors  and  windows  with  frames  and  stacking  the  materials  as  directed  with  all leads, lifts etc. complete.</t>
  </si>
  <si>
    <t>Nos.</t>
  </si>
  <si>
    <t>M2</t>
  </si>
  <si>
    <t xml:space="preserve">collapsible steel door </t>
  </si>
  <si>
    <t>Providing  and  fixing  machine  cut  mirror  polished  18  mm to  20  mm thick  telephone  black granite / Amba White / Cat bary brown / RBI red / Ocean Brown granite stone partition with full moulding the edges etc.  complete . Both side polish</t>
  </si>
  <si>
    <t>WC &amp; Bath Door Frame</t>
  </si>
  <si>
    <t>12 x 2 = 24</t>
  </si>
  <si>
    <t>Providing and applying two coats of textured synthetic paint of approved shade and quality and one coat of primer before applying textured paint including scaffolding if necessary preparing surface by thoroughly cleaning oil,grease,dirt and other materials as required, etc. complete.</t>
  </si>
  <si>
    <t>Celing Qty</t>
  </si>
  <si>
    <t>Internal Plaster</t>
  </si>
  <si>
    <t>Qty same as Item No.</t>
  </si>
  <si>
    <t xml:space="preserve">class IV </t>
  </si>
  <si>
    <t>Agreement No . B2/08 for 2025-26 Ratnagiri Div</t>
  </si>
  <si>
    <t xml:space="preserve">Rebate for old Damaged structural steel Total weight  </t>
  </si>
  <si>
    <t>length</t>
  </si>
  <si>
    <t>Wt/RM</t>
  </si>
  <si>
    <t>Post 50 mm   =  50 x 50 x 3 =  4.31 kg/m</t>
  </si>
  <si>
    <t xml:space="preserve"> Rafters 50 mm  = 4.31 kg/m</t>
  </si>
  <si>
    <t>purlins 40 mm = 3.36 kg/m</t>
  </si>
  <si>
    <t>Collapsible steel gate 2.50 x 2.20 = 5.50 x 18 = 99 kg</t>
  </si>
  <si>
    <t>Providing second  class  Burnt  Brick  masonry  with  conventional/  I.S.  type  bricks  in  cement mortar  1:6  in  superstructure  including  striking  joints,  raking  out  joints,  watering  and scaffolding etc. Complete</t>
  </si>
  <si>
    <t>m3</t>
  </si>
  <si>
    <t>Nominal provision = 2.00 CUM</t>
  </si>
  <si>
    <t>Consider 30 % Steel good condition</t>
  </si>
  <si>
    <t xml:space="preserve">Nagothane Industrial Area ....M&amp;R to W/S/S ...   Repairs , Painting &amp; Micellaneous work  to Class-IV Staff Quarters at WTP Colony, Nagothane.
</t>
  </si>
  <si>
    <t xml:space="preserve">Name of Work :Nagothane Industrial Area ....M&amp;R to W/S/S ...   Repairs , Painting &amp; Micellaneous work  to Class-IV Staff Quarters at WTP Colony, Nagothane.
</t>
  </si>
  <si>
    <t>Providing and fixing in position. (as per I.S.1868 / 1982) Aluminium sliding window of two tracks with rectangular pipe having overall dimension 63.50 x 38.10 x 1.02 mm at weight 0.547 Kilogram/One Running Metre. and window frame bottom track section 61.85 x 31.75 x 1.20 mm at weight 0.695 Kilogram/One Running Metre. Top and side track section 61.85 x 31.75 x 1.30 mm at weight 0.659 Kilogram/One Running Metre. The shutter should be of bearing bottom 40 x 18 x 1.25 mm at weight 0.417 Kilogram/One Running Metre. Inter locking section 40 x 18 x 1.10 mm at weight 0.469 Kilogram/One Running Metre. And handle section 40 x 18 x 1.25 mm at weight 0.417 Kilogram/One Running Metre. and top section 40 x 18 x 1.25 mm at weight 0.417 Kilogram/Running metre. As per detailed drawings and as directed by Engineer in charge with all necessary Aluminium sections fixtures and fastenings such as roller bearing in nylon casting and self locking catch fitted in vertical section of shutter including 5 mm thick plain glass with all required screws and nuts etc, complete. With colour Anodising with box</t>
  </si>
  <si>
    <r>
      <t xml:space="preserve">Providing and constructing </t>
    </r>
    <r>
      <rPr>
        <sz val="11"/>
        <color theme="1"/>
        <rFont val="Bookman Old Style"/>
        <family val="1"/>
      </rPr>
      <t>Brick Masonry Inspection Chamber 60cmx 45cmx  90cm including 1:4:8 cement concrete foundation 1:2:4 cement concrete channels  half  round  G.S.W. pipes, Brick Masonry, plastering from inside and airtight C. I. cover   of 75Kilogramwith lid and frame fixed in cement concrete</t>
    </r>
  </si>
  <si>
    <t>Work Portion :- Class IV Qtrs</t>
  </si>
  <si>
    <t>Providing and fixing valley gutter of plain galvanized iron sheets, 1200 mm wide including, coal tarring etc. complete.</t>
  </si>
  <si>
    <r>
      <t xml:space="preserve">Providing, laying and fixing </t>
    </r>
    <r>
      <rPr>
        <sz val="11"/>
        <rFont val="Bookman Old Style"/>
        <family val="1"/>
      </rPr>
      <t>P.V.C. pipe of 110 mm. dia. with fittings such as bends, tees, reducers, clamps, etc. including necessary excavation, trench filling etc. complete. Including removing existing pipe line if necessary and conveying and stacking the same in PWD chowky or as directed etc. complete.</t>
    </r>
  </si>
  <si>
    <t>Providing and fixing fiber glass reinforce polyster door shutter 30mm thickasper IS  14856(2000) (Reaffirmed 2006) without ventilator including chromium plated  fixtures   and fastening with chromium plated handles on both sides, etc
 complete</t>
  </si>
  <si>
    <r>
      <rPr>
        <sz val="11"/>
        <rFont val="Bookman Old Style"/>
        <family val="1"/>
      </rPr>
      <t>Providing and fixing solid core flush door commercial type on single leaf 16 mm thick Bison Panel cement bonded particle Board including Teak wood lipping beading on all four edges without ventilator commercial type of exterior grade as per detailed drawings with wrought iron hold fast,stainless steel fixtures and fastenings and handles on both sides and finishing with oil painting three coats complete.</t>
    </r>
  </si>
  <si>
    <t>For 1st &amp; 2 nd Floor Bath &amp; WC</t>
  </si>
  <si>
    <t>WC &amp; Bath= 2 x 12 = 24 no.</t>
  </si>
  <si>
    <t xml:space="preserve">Ceramic tile/ vetrified tile 6 set </t>
  </si>
  <si>
    <t>2 Test per Source</t>
  </si>
  <si>
    <t>2</t>
  </si>
  <si>
    <t>Providing  and  laying  Cast  in  situ/Ready  Mix  cement  concrete  M-20  of  trap/  granite  / quartzite/ gneiss metal for R.C.C.  slabs and  landings  as  per detailed  designs and  drawings including steel centering, formwork, cover blocks, laying/pumping, compaction finishing the formed surfaces with cement mortar 1:3 of sufficient minimum thickness to give a smooth and even   surface   or   roughening   if   special   finish   is   to   be   provided   and   curing   etc. complete,(Excluding reinforcement and structural steel).with fully automatic micro processor based PLC with SCADA enabled reversible Drum Type mixer/ concrete Batch mix plant (Pan mixer) etc. complete. With fine aggregate (Crushed sand VSI Grade)</t>
  </si>
  <si>
    <t>Providing and fixing in position TMT - FE - 500 bar reinforcement of various diameters for R.C.C.  pile  caps,  footings,  foundations,  slabs,  beams  columns,  canopies,  staircase,  newels, chajjas,  lintels  pardis,  copings,  fins,  arches  etc.  as  per  detailed  designs,  drawings  and schedules. including cutting, bending, hooking the bars, binding with wires or tack welding and supporting as required complete.</t>
  </si>
  <si>
    <t>TMT Bars</t>
  </si>
  <si>
    <t>R.C.C qty for itam no. 7 = (2.40 M3 )</t>
  </si>
  <si>
    <t>Nominal provision = 0.10 MT</t>
  </si>
  <si>
    <t xml:space="preserve">43.31
</t>
  </si>
  <si>
    <t>Providing and fixing in position powder coated aluminium louvered windows / ventilator of various  sizes  with  powder  coating  as  per  detailed  drawing  and  specifications  including aluminium  frames  80  x  38  mm  x  1.22  mm  box  type,  5  mm  thick  sheet  glass  louvers,  of approved quality etc. complete.</t>
  </si>
  <si>
    <r>
      <t xml:space="preserve">Providing and Fixing in position aluminium frame </t>
    </r>
    <r>
      <rPr>
        <b/>
        <sz val="11"/>
        <color theme="1"/>
        <rFont val="Bookman Old Style"/>
        <family val="1"/>
      </rPr>
      <t xml:space="preserve">mosquito net panels </t>
    </r>
    <r>
      <rPr>
        <sz val="11"/>
        <color theme="1"/>
        <rFont val="Bookman Old Style"/>
        <family val="1"/>
      </rPr>
      <t>in to existing sliding windows or at balconies wherever necessary, the frame shall be consisting of aluminium haldle, frame, section and provided with GI mesh so as to serve as mosquito net, also providing tower bolts wherever necessary etc. all labour &amp; material complete. Rate Excluding GST</t>
    </r>
  </si>
  <si>
    <t>W= 24</t>
  </si>
  <si>
    <t xml:space="preserve"> Providing, laying and fixing P.V.C. pipe of 50 mm dia. with fittings such as  bends, tees, reducers, clamps, etc. including necessary excavation, trench fillingetc.  complete.  ncluding removing existing pipe line if necessary and conveying and  stacking  the  same  in  PWD chowky or as directed etc. complete</t>
  </si>
  <si>
    <t>Providing and fixing collapsible steel gate inone / two leave swith hot rolle dvertical channels of 18 x 9 x 3 mm minimum size, crossings of M.S. flats of size 18 x 5 mmTor Esection forrunner of minimum 40x6 mm size for flange, M.S. flat for top runner of minimum size 40x12 mm with roller wheels confirming to grade F.G. 150 fitted with snap headed rivets of minimum size 6 mm max. spacing of vertical channels be 100 mm enclosed gate position and clear space of 150 mm between two sets of crossings with hold fasts, stoppers, spaces,handles, locking arrangement and one coat of red lead primer and oil painting etc. complete. (I.S. 105211983)</t>
  </si>
  <si>
    <t>Providing   and   laying   Cast   in   situ/Ready   Mix    cement   concrete   in   M15   of   trap/granite/quartzite/gneiss metal for foundation and bedding / steps including steel centering,   formwork, laying/pumping, compacting,  roughening  them  if  special  finish  is  to  be  provided,  finishing  uneven  and honeycombed surface and curing etc. complete. The Cement Mortar 1:3 plaster is considered for rendering uneven and honeycombed surface, only. Newly laid concrete shall be covered by  gunny  bag,  plastic,  tarpaulin  etc.  (Wooden  centering  will  not  be  allowed.),with  fully automatic   micro   processor   based   PLC   with   SCADA   enabled   reversible   Drum   Type mixer/concrete  Batch  mix  plant  (Pan  mixer)  etc.  complete.    With  fine  aggregate  (Crushed sand VSI Grade)</t>
  </si>
  <si>
    <t>incasing road crossing</t>
  </si>
  <si>
    <t>Providing and laying ceramic tiles/antiskid ceramic tiles  ( Bell, Spartek, Johnson, Pedders, Kajaria, RAK etc). conforming to IS:13712-1993, of approved colour including cement float, filling the joints with matching colour, with pigments added to white cement slurry cleaning etc. complete.( Basic rate of tiles not less than Rs.600/- per Sqm.)</t>
  </si>
  <si>
    <t xml:space="preserve"> Qty. same as per item no. 4 A Consider  60 %</t>
  </si>
  <si>
    <t xml:space="preserve">(Ref. Agg. No. B1-06 for 2021-22 I.No. 38) Ratnagiri Div </t>
  </si>
  <si>
    <t>class IV quarters</t>
  </si>
  <si>
    <t>External Consider 60 %</t>
  </si>
  <si>
    <t>Total length = 70.00M</t>
  </si>
  <si>
    <t>Providing and  constructing granite kitchen  platform with  fixing of   stainless  steel  sink 600 mm x 450  mm size as per detailed  drawing including vertical both  side polished  kadappah stone 25 to 30 mm thick supports with kadappah  top 35 to 40 mm thick and polished granite 16 to 20 mm top with side strips of granite at front and both sides of platform raised with two vertical  granite  supports  15  cm  height  and  top  granite  of  75  x  40  cm  including  cutting, opening for sink of required size in kadappah as well as granite etc. complete. (Platform top size 5.00 m x 0.60 m and height is 0.75 m)</t>
  </si>
  <si>
    <t>kitchen  platform consider 4 block</t>
  </si>
  <si>
    <t xml:space="preserve"> Qty. same as per item no. 4 B Consider 70 %</t>
  </si>
  <si>
    <t>Lumsum 25 M3 qty</t>
  </si>
</sst>
</file>

<file path=xl/styles.xml><?xml version="1.0" encoding="utf-8"?>
<styleSheet xmlns="http://schemas.openxmlformats.org/spreadsheetml/2006/main">
  <numFmts count="2">
    <numFmt numFmtId="43" formatCode="_(* #,##0.00_);_(* \(#,##0.00\);_(* &quot;-&quot;??_);_(@_)"/>
    <numFmt numFmtId="164" formatCode="0.000"/>
  </numFmts>
  <fonts count="62">
    <font>
      <sz val="10"/>
      <name val="Arial"/>
    </font>
    <font>
      <sz val="12"/>
      <name val="Arial"/>
      <family val="2"/>
    </font>
    <font>
      <b/>
      <sz val="12"/>
      <name val="Arial"/>
      <family val="2"/>
    </font>
    <font>
      <sz val="11"/>
      <name val="Arial"/>
      <family val="2"/>
    </font>
    <font>
      <b/>
      <u/>
      <sz val="12"/>
      <name val="Arial"/>
      <family val="2"/>
    </font>
    <font>
      <sz val="10"/>
      <name val="Arial"/>
      <family val="2"/>
    </font>
    <font>
      <b/>
      <sz val="11"/>
      <name val="Arial"/>
      <family val="2"/>
    </font>
    <font>
      <b/>
      <sz val="14"/>
      <name val="Bookman Old Style"/>
      <family val="1"/>
    </font>
    <font>
      <sz val="10"/>
      <name val="Bookman Old Style"/>
      <family val="1"/>
    </font>
    <font>
      <sz val="12"/>
      <name val="Bookman Old Style"/>
      <family val="1"/>
    </font>
    <font>
      <b/>
      <sz val="12"/>
      <name val="Bookman Old Style"/>
      <family val="1"/>
    </font>
    <font>
      <b/>
      <sz val="11"/>
      <name val="Bookman Old Style"/>
      <family val="1"/>
    </font>
    <font>
      <sz val="11"/>
      <name val="Bookman Old Style"/>
      <family val="1"/>
    </font>
    <font>
      <b/>
      <i/>
      <sz val="11"/>
      <name val="Bookman Old Style"/>
      <family val="1"/>
    </font>
    <font>
      <i/>
      <sz val="11"/>
      <name val="Bookman Old Style"/>
      <family val="1"/>
    </font>
    <font>
      <b/>
      <sz val="16"/>
      <name val="Arial"/>
      <family val="2"/>
    </font>
    <font>
      <sz val="14"/>
      <name val="Arial"/>
      <family val="2"/>
    </font>
    <font>
      <b/>
      <u/>
      <sz val="16"/>
      <name val="Arial"/>
      <family val="2"/>
    </font>
    <font>
      <b/>
      <sz val="14"/>
      <name val="Arial"/>
      <family val="2"/>
    </font>
    <font>
      <b/>
      <sz val="10"/>
      <name val="Arial"/>
      <family val="2"/>
    </font>
    <font>
      <sz val="10"/>
      <name val="Arial"/>
      <family val="2"/>
    </font>
    <font>
      <u/>
      <sz val="12"/>
      <name val="Arial"/>
      <family val="2"/>
    </font>
    <font>
      <u/>
      <sz val="14"/>
      <name val="Arial"/>
      <family val="2"/>
    </font>
    <font>
      <b/>
      <sz val="9"/>
      <name val="Arial"/>
      <family val="2"/>
    </font>
    <font>
      <sz val="9"/>
      <name val="Arial"/>
      <family val="2"/>
    </font>
    <font>
      <sz val="12"/>
      <name val="Trebuchet MS"/>
      <family val="2"/>
    </font>
    <font>
      <sz val="7"/>
      <name val="Times New Roman"/>
      <family val="1"/>
    </font>
    <font>
      <b/>
      <sz val="14"/>
      <name val="Trebuchet MS"/>
      <family val="2"/>
    </font>
    <font>
      <sz val="14"/>
      <name val="Trebuchet MS"/>
      <family val="2"/>
    </font>
    <font>
      <sz val="10"/>
      <name val="Trebuchet MS"/>
      <family val="2"/>
    </font>
    <font>
      <b/>
      <sz val="12"/>
      <name val="Trebuchet MS"/>
      <family val="2"/>
    </font>
    <font>
      <b/>
      <sz val="10"/>
      <name val="Trebuchet MS"/>
      <family val="2"/>
    </font>
    <font>
      <u/>
      <sz val="12"/>
      <name val="Trebuchet MS"/>
      <family val="2"/>
    </font>
    <font>
      <sz val="10"/>
      <name val="Arial"/>
      <family val="2"/>
    </font>
    <font>
      <sz val="11"/>
      <name val="Andalus"/>
      <family val="1"/>
    </font>
    <font>
      <u/>
      <sz val="11"/>
      <name val="Bookman Old Style"/>
      <family val="1"/>
    </font>
    <font>
      <b/>
      <sz val="11"/>
      <name val="Andalus"/>
      <family val="1"/>
    </font>
    <font>
      <sz val="10"/>
      <name val="Calibri"/>
      <family val="2"/>
      <scheme val="minor"/>
    </font>
    <font>
      <b/>
      <sz val="10"/>
      <name val="Bookman Old Style"/>
      <family val="1"/>
    </font>
    <font>
      <b/>
      <sz val="12"/>
      <name val="Book Antiqua"/>
      <family val="1"/>
    </font>
    <font>
      <b/>
      <sz val="11"/>
      <name val="Times New Roman"/>
      <family val="1"/>
    </font>
    <font>
      <b/>
      <sz val="10"/>
      <name val="Book Antiqua"/>
      <family val="1"/>
    </font>
    <font>
      <sz val="10"/>
      <name val="Book Antiqua"/>
      <family val="1"/>
    </font>
    <font>
      <b/>
      <sz val="11"/>
      <name val="Book Antiqua"/>
      <family val="1"/>
    </font>
    <font>
      <b/>
      <u/>
      <sz val="11"/>
      <name val="Book Antiqua"/>
      <family val="1"/>
    </font>
    <font>
      <b/>
      <sz val="11"/>
      <color theme="1"/>
      <name val="Bookman Old Style"/>
      <family val="1"/>
    </font>
    <font>
      <b/>
      <sz val="10"/>
      <color theme="1"/>
      <name val="Bookman Old Style"/>
      <family val="1"/>
    </font>
    <font>
      <b/>
      <sz val="9"/>
      <name val="Bookman Old Style"/>
      <family val="1"/>
    </font>
    <font>
      <sz val="11"/>
      <color rgb="FFFF0000"/>
      <name val="Calibri"/>
      <family val="2"/>
      <scheme val="minor"/>
    </font>
    <font>
      <b/>
      <sz val="11"/>
      <color theme="1"/>
      <name val="Calibri"/>
      <family val="2"/>
      <scheme val="minor"/>
    </font>
    <font>
      <sz val="11"/>
      <color theme="1"/>
      <name val="Bookman Old Style"/>
      <family val="1"/>
    </font>
    <font>
      <b/>
      <sz val="11"/>
      <color rgb="FFFF0000"/>
      <name val="Calibri"/>
      <family val="2"/>
      <scheme val="minor"/>
    </font>
    <font>
      <sz val="11"/>
      <name val="Book Antiqua"/>
      <family val="1"/>
    </font>
    <font>
      <sz val="10"/>
      <color rgb="FF000000"/>
      <name val="Arial"/>
      <family val="2"/>
    </font>
    <font>
      <sz val="11"/>
      <color theme="1"/>
      <name val="Times New Roman"/>
      <family val="1"/>
    </font>
    <font>
      <b/>
      <sz val="11"/>
      <color theme="1"/>
      <name val="Times New Roman"/>
      <family val="1"/>
    </font>
    <font>
      <sz val="10"/>
      <color theme="1"/>
      <name val="Bookman Old Style"/>
      <family val="1"/>
    </font>
    <font>
      <sz val="11"/>
      <name val="Times New Roman"/>
      <family val="1"/>
    </font>
    <font>
      <b/>
      <sz val="10"/>
      <color theme="1"/>
      <name val="Calibri"/>
      <family val="2"/>
      <scheme val="minor"/>
    </font>
    <font>
      <sz val="10"/>
      <color theme="1"/>
      <name val="Calibri"/>
      <family val="2"/>
      <scheme val="minor"/>
    </font>
    <font>
      <b/>
      <sz val="10"/>
      <color indexed="8"/>
      <name val="Garamond"/>
      <family val="1"/>
    </font>
    <font>
      <sz val="9"/>
      <name val="Bookman Old Style"/>
      <family val="1"/>
    </font>
  </fonts>
  <fills count="7">
    <fill>
      <patternFill patternType="none"/>
    </fill>
    <fill>
      <patternFill patternType="gray125"/>
    </fill>
    <fill>
      <patternFill patternType="solid">
        <fgColor rgb="FFFFFF00"/>
        <bgColor indexed="64"/>
      </patternFill>
    </fill>
    <fill>
      <patternFill patternType="solid">
        <fgColor theme="0"/>
        <bgColor indexed="64"/>
      </patternFill>
    </fill>
    <fill>
      <patternFill patternType="solid">
        <fgColor theme="8" tint="0.59999389629810485"/>
        <bgColor indexed="64"/>
      </patternFill>
    </fill>
    <fill>
      <patternFill patternType="solid">
        <fgColor theme="8" tint="0.39997558519241921"/>
        <bgColor indexed="64"/>
      </patternFill>
    </fill>
    <fill>
      <patternFill patternType="solid">
        <fgColor theme="5" tint="0.59999389629810485"/>
        <bgColor indexed="64"/>
      </patternFill>
    </fill>
  </fills>
  <borders count="36">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style="thin">
        <color indexed="64"/>
      </right>
      <top/>
      <bottom style="thin">
        <color indexed="64"/>
      </bottom>
      <diagonal/>
    </border>
    <border>
      <left/>
      <right/>
      <top/>
      <bottom style="thin">
        <color indexed="64"/>
      </bottom>
      <diagonal/>
    </border>
    <border>
      <left style="thin">
        <color indexed="64"/>
      </left>
      <right/>
      <top/>
      <bottom style="thin">
        <color indexed="64"/>
      </bottom>
      <diagonal/>
    </border>
    <border>
      <left style="thin">
        <color indexed="64"/>
      </left>
      <right/>
      <top/>
      <bottom/>
      <diagonal/>
    </border>
    <border>
      <left/>
      <right/>
      <top/>
      <bottom style="double">
        <color indexed="64"/>
      </bottom>
      <diagonal/>
    </border>
    <border>
      <left/>
      <right/>
      <top style="thin">
        <color indexed="64"/>
      </top>
      <bottom style="thin">
        <color indexed="64"/>
      </bottom>
      <diagonal/>
    </border>
    <border>
      <left/>
      <right style="thin">
        <color indexed="64"/>
      </right>
      <top/>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right style="medium">
        <color auto="1"/>
      </right>
      <top/>
      <bottom/>
      <diagonal/>
    </border>
    <border>
      <left style="medium">
        <color auto="1"/>
      </left>
      <right style="medium">
        <color auto="1"/>
      </right>
      <top/>
      <bottom/>
      <diagonal/>
    </border>
    <border>
      <left style="medium">
        <color auto="1"/>
      </left>
      <right style="medium">
        <color auto="1"/>
      </right>
      <top style="thin">
        <color indexed="64"/>
      </top>
      <bottom/>
      <diagonal/>
    </border>
    <border>
      <left/>
      <right style="hair">
        <color auto="1"/>
      </right>
      <top style="hair">
        <color auto="1"/>
      </top>
      <bottom style="hair">
        <color auto="1"/>
      </bottom>
      <diagonal/>
    </border>
    <border>
      <left style="hair">
        <color auto="1"/>
      </left>
      <right style="hair">
        <color auto="1"/>
      </right>
      <top style="hair">
        <color auto="1"/>
      </top>
      <bottom style="hair">
        <color auto="1"/>
      </bottom>
      <diagonal/>
    </border>
    <border>
      <left style="hair">
        <color auto="1"/>
      </left>
      <right style="hair">
        <color auto="1"/>
      </right>
      <top style="hair">
        <color auto="1"/>
      </top>
      <bottom/>
      <diagonal/>
    </border>
    <border>
      <left style="hair">
        <color auto="1"/>
      </left>
      <right style="hair">
        <color auto="1"/>
      </right>
      <top/>
      <bottom style="hair">
        <color auto="1"/>
      </bottom>
      <diagonal/>
    </border>
    <border>
      <left style="hair">
        <color auto="1"/>
      </left>
      <right style="hair">
        <color auto="1"/>
      </right>
      <top style="thin">
        <color indexed="64"/>
      </top>
      <bottom style="hair">
        <color auto="1"/>
      </bottom>
      <diagonal/>
    </border>
    <border>
      <left style="hair">
        <color auto="1"/>
      </left>
      <right/>
      <top style="hair">
        <color auto="1"/>
      </top>
      <bottom style="hair">
        <color auto="1"/>
      </bottom>
      <diagonal/>
    </border>
    <border>
      <left/>
      <right/>
      <top style="hair">
        <color auto="1"/>
      </top>
      <bottom style="hair">
        <color auto="1"/>
      </bottom>
      <diagonal/>
    </border>
    <border>
      <left style="hair">
        <color auto="1"/>
      </left>
      <right style="hair">
        <color auto="1"/>
      </right>
      <top/>
      <bottom/>
      <diagonal/>
    </border>
    <border>
      <left style="thin">
        <color auto="1"/>
      </left>
      <right style="thin">
        <color auto="1"/>
      </right>
      <top style="hair">
        <color auto="1"/>
      </top>
      <bottom style="hair">
        <color auto="1"/>
      </bottom>
      <diagonal/>
    </border>
    <border>
      <left style="hair">
        <color auto="1"/>
      </left>
      <right style="hair">
        <color auto="1"/>
      </right>
      <top style="thin">
        <color indexed="64"/>
      </top>
      <bottom/>
      <diagonal/>
    </border>
    <border>
      <left style="thin">
        <color auto="1"/>
      </left>
      <right style="hair">
        <color auto="1"/>
      </right>
      <top style="hair">
        <color auto="1"/>
      </top>
      <bottom style="hair">
        <color auto="1"/>
      </bottom>
      <diagonal/>
    </border>
    <border>
      <left style="hair">
        <color auto="1"/>
      </left>
      <right style="hair">
        <color auto="1"/>
      </right>
      <top style="thin">
        <color indexed="64"/>
      </top>
      <bottom style="thin">
        <color indexed="64"/>
      </bottom>
      <diagonal/>
    </border>
    <border>
      <left style="thin">
        <color auto="1"/>
      </left>
      <right style="hair">
        <color auto="1"/>
      </right>
      <top style="thin">
        <color indexed="64"/>
      </top>
      <bottom style="hair">
        <color auto="1"/>
      </bottom>
      <diagonal/>
    </border>
    <border>
      <left style="hair">
        <color auto="1"/>
      </left>
      <right/>
      <top style="hair">
        <color auto="1"/>
      </top>
      <bottom/>
      <diagonal/>
    </border>
    <border>
      <left/>
      <right/>
      <top style="hair">
        <color auto="1"/>
      </top>
      <bottom/>
      <diagonal/>
    </border>
    <border>
      <left/>
      <right style="hair">
        <color auto="1"/>
      </right>
      <top style="hair">
        <color auto="1"/>
      </top>
      <bottom/>
      <diagonal/>
    </border>
  </borders>
  <cellStyleXfs count="5">
    <xf numFmtId="0" fontId="0" fillId="0" borderId="0"/>
    <xf numFmtId="43" fontId="20" fillId="0" borderId="0" applyFont="0" applyFill="0" applyBorder="0" applyAlignment="0" applyProtection="0"/>
    <xf numFmtId="0" fontId="5" fillId="0" borderId="0"/>
    <xf numFmtId="43" fontId="33" fillId="0" borderId="0" applyFont="0" applyFill="0" applyBorder="0" applyAlignment="0" applyProtection="0"/>
    <xf numFmtId="0" fontId="53" fillId="0" borderId="0"/>
  </cellStyleXfs>
  <cellXfs count="1009">
    <xf numFmtId="0" fontId="0" fillId="0" borderId="0" xfId="0"/>
    <xf numFmtId="0" fontId="1" fillId="0" borderId="0" xfId="0" applyFont="1"/>
    <xf numFmtId="0" fontId="2" fillId="0" borderId="0" xfId="0" applyFont="1"/>
    <xf numFmtId="0" fontId="3" fillId="0" borderId="0" xfId="0" applyFont="1"/>
    <xf numFmtId="0" fontId="1" fillId="0" borderId="0" xfId="0" applyFont="1" applyAlignment="1">
      <alignment horizontal="center" vertical="center"/>
    </xf>
    <xf numFmtId="2" fontId="1" fillId="0" borderId="0" xfId="0" applyNumberFormat="1" applyFont="1" applyBorder="1" applyAlignment="1">
      <alignment horizontal="center" vertical="center"/>
    </xf>
    <xf numFmtId="0" fontId="0" fillId="0" borderId="0" xfId="0" applyAlignment="1">
      <alignment vertical="center"/>
    </xf>
    <xf numFmtId="0" fontId="1" fillId="0" borderId="0" xfId="0" applyFont="1" applyAlignment="1">
      <alignment horizontal="left"/>
    </xf>
    <xf numFmtId="0" fontId="0" fillId="0" borderId="0" xfId="0" applyAlignment="1">
      <alignment horizontal="left"/>
    </xf>
    <xf numFmtId="0" fontId="1" fillId="0" borderId="0" xfId="0" applyFont="1" applyAlignment="1">
      <alignment vertical="center"/>
    </xf>
    <xf numFmtId="0" fontId="8" fillId="0" borderId="0" xfId="0" applyFont="1" applyFill="1"/>
    <xf numFmtId="2" fontId="10" fillId="0" borderId="0" xfId="0" applyNumberFormat="1" applyFont="1" applyFill="1" applyBorder="1" applyAlignment="1">
      <alignment horizontal="left"/>
    </xf>
    <xf numFmtId="0" fontId="9" fillId="0" borderId="0" xfId="0" applyFont="1"/>
    <xf numFmtId="0" fontId="12" fillId="0" borderId="0" xfId="0" applyFont="1"/>
    <xf numFmtId="0" fontId="8" fillId="0" borderId="0" xfId="0" applyFont="1"/>
    <xf numFmtId="0" fontId="10" fillId="0" borderId="0" xfId="0" applyFont="1" applyAlignment="1">
      <alignment horizontal="center" vertical="center"/>
    </xf>
    <xf numFmtId="0" fontId="9" fillId="0" borderId="0" xfId="0" applyFont="1" applyFill="1"/>
    <xf numFmtId="0" fontId="10" fillId="0" borderId="0" xfId="0" applyFont="1"/>
    <xf numFmtId="0" fontId="10" fillId="0" borderId="1" xfId="0" applyFont="1" applyBorder="1" applyAlignment="1">
      <alignment horizontal="center" vertical="center" wrapText="1"/>
    </xf>
    <xf numFmtId="0" fontId="10" fillId="0" borderId="2" xfId="0" applyFont="1" applyBorder="1" applyAlignment="1">
      <alignment horizontal="center" vertical="center" wrapText="1"/>
    </xf>
    <xf numFmtId="0" fontId="10" fillId="0" borderId="2" xfId="0" applyFont="1" applyBorder="1" applyAlignment="1">
      <alignment horizontal="center" vertical="center"/>
    </xf>
    <xf numFmtId="0" fontId="10" fillId="0" borderId="1" xfId="0" applyFont="1" applyBorder="1" applyAlignment="1">
      <alignment horizontal="center" vertical="center"/>
    </xf>
    <xf numFmtId="0" fontId="10" fillId="0" borderId="3" xfId="0" applyFont="1" applyBorder="1" applyAlignment="1">
      <alignment horizontal="center" vertical="center"/>
    </xf>
    <xf numFmtId="2" fontId="9" fillId="0" borderId="0" xfId="0" applyNumberFormat="1" applyFont="1" applyFill="1" applyBorder="1" applyAlignment="1">
      <alignment horizontal="center"/>
    </xf>
    <xf numFmtId="0" fontId="12" fillId="0" borderId="4" xfId="0" applyFont="1" applyBorder="1" applyAlignment="1">
      <alignment horizontal="justify" vertical="top" wrapText="1"/>
    </xf>
    <xf numFmtId="0" fontId="12" fillId="0" borderId="4" xfId="0" applyFont="1" applyBorder="1" applyAlignment="1">
      <alignment horizontal="right" vertical="top"/>
    </xf>
    <xf numFmtId="0" fontId="12" fillId="0" borderId="4" xfId="0" applyFont="1" applyBorder="1" applyAlignment="1">
      <alignment horizontal="right" vertical="top" wrapText="1"/>
    </xf>
    <xf numFmtId="1" fontId="9" fillId="0" borderId="0" xfId="0" applyNumberFormat="1" applyFont="1" applyFill="1" applyBorder="1" applyAlignment="1">
      <alignment horizontal="center"/>
    </xf>
    <xf numFmtId="2" fontId="12" fillId="0" borderId="4" xfId="0" applyNumberFormat="1" applyFont="1" applyFill="1" applyBorder="1" applyAlignment="1">
      <alignment horizontal="left"/>
    </xf>
    <xf numFmtId="0" fontId="12" fillId="0" borderId="4" xfId="0" applyFont="1" applyBorder="1" applyAlignment="1">
      <alignment horizontal="justify" vertical="top"/>
    </xf>
    <xf numFmtId="0" fontId="12" fillId="0" borderId="4" xfId="0" applyNumberFormat="1" applyFont="1" applyFill="1" applyBorder="1" applyAlignment="1">
      <alignment horizontal="justify" vertical="top" wrapText="1"/>
    </xf>
    <xf numFmtId="0" fontId="12" fillId="0" borderId="4" xfId="0" applyFont="1" applyFill="1" applyBorder="1" applyAlignment="1">
      <alignment horizontal="justify" vertical="top" wrapText="1"/>
    </xf>
    <xf numFmtId="0" fontId="12" fillId="0" borderId="5" xfId="0" applyFont="1" applyFill="1" applyBorder="1" applyAlignment="1">
      <alignment horizontal="justify" vertical="top" wrapText="1"/>
    </xf>
    <xf numFmtId="0" fontId="11" fillId="0" borderId="4" xfId="0" applyFont="1" applyBorder="1" applyAlignment="1">
      <alignment horizontal="justify" vertical="top" wrapText="1"/>
    </xf>
    <xf numFmtId="1" fontId="12" fillId="0" borderId="0" xfId="0" applyNumberFormat="1" applyFont="1" applyFill="1" applyBorder="1" applyAlignment="1">
      <alignment horizontal="center"/>
    </xf>
    <xf numFmtId="2" fontId="12" fillId="0" borderId="4" xfId="0" applyNumberFormat="1" applyFont="1" applyFill="1" applyBorder="1" applyAlignment="1">
      <alignment horizontal="center"/>
    </xf>
    <xf numFmtId="2" fontId="12" fillId="0" borderId="0" xfId="0" applyNumberFormat="1" applyFont="1" applyFill="1" applyBorder="1" applyAlignment="1">
      <alignment horizontal="center"/>
    </xf>
    <xf numFmtId="0" fontId="2" fillId="0" borderId="0" xfId="0" applyFont="1" applyAlignment="1">
      <alignment horizontal="center" wrapText="1"/>
    </xf>
    <xf numFmtId="0" fontId="0" fillId="0" borderId="0" xfId="0" applyAlignment="1"/>
    <xf numFmtId="0" fontId="12" fillId="0" borderId="0" xfId="0" applyFont="1" applyFill="1" applyBorder="1" applyAlignment="1">
      <alignment horizontal="center" vertical="top" wrapText="1"/>
    </xf>
    <xf numFmtId="2" fontId="10" fillId="0" borderId="0" xfId="0" applyNumberFormat="1" applyFont="1" applyFill="1" applyBorder="1" applyAlignment="1">
      <alignment horizontal="center" vertical="center"/>
    </xf>
    <xf numFmtId="0" fontId="12" fillId="0" borderId="0" xfId="0" applyFont="1" applyFill="1" applyBorder="1" applyAlignment="1">
      <alignment vertical="top" wrapText="1"/>
    </xf>
    <xf numFmtId="0" fontId="0" fillId="0" borderId="10" xfId="0" applyBorder="1"/>
    <xf numFmtId="0" fontId="0" fillId="0" borderId="7" xfId="0" applyBorder="1"/>
    <xf numFmtId="0" fontId="18" fillId="0" borderId="0" xfId="0" applyFont="1" applyAlignment="1">
      <alignment vertical="top"/>
    </xf>
    <xf numFmtId="0" fontId="19" fillId="0" borderId="0" xfId="0" applyFont="1" applyAlignment="1">
      <alignment vertical="top"/>
    </xf>
    <xf numFmtId="0" fontId="0" fillId="0" borderId="0" xfId="0" applyAlignment="1">
      <alignment vertical="top"/>
    </xf>
    <xf numFmtId="0" fontId="0" fillId="0" borderId="0" xfId="0" applyAlignment="1">
      <alignment wrapText="1"/>
    </xf>
    <xf numFmtId="0" fontId="2" fillId="0" borderId="0" xfId="0" applyFont="1" applyAlignment="1">
      <alignment vertical="top" wrapText="1"/>
    </xf>
    <xf numFmtId="0" fontId="0" fillId="0" borderId="0" xfId="0" applyAlignment="1">
      <alignment vertical="top" wrapText="1"/>
    </xf>
    <xf numFmtId="2" fontId="18" fillId="0" borderId="11" xfId="0" applyNumberFormat="1" applyFont="1" applyBorder="1" applyAlignment="1">
      <alignment horizontal="center"/>
    </xf>
    <xf numFmtId="0" fontId="0" fillId="0" borderId="0" xfId="0" applyBorder="1"/>
    <xf numFmtId="0" fontId="1" fillId="0" borderId="7" xfId="0" applyFont="1" applyBorder="1"/>
    <xf numFmtId="0" fontId="0" fillId="0" borderId="0" xfId="0" applyAlignment="1">
      <alignment horizontal="center"/>
    </xf>
    <xf numFmtId="0" fontId="2" fillId="0" borderId="0" xfId="0" applyFont="1" applyAlignment="1">
      <alignment horizontal="center"/>
    </xf>
    <xf numFmtId="0" fontId="1" fillId="0" borderId="0" xfId="0" applyFont="1" applyAlignment="1">
      <alignment horizontal="justify" vertical="top" wrapText="1"/>
    </xf>
    <xf numFmtId="0" fontId="5" fillId="0" borderId="0" xfId="0" applyFont="1"/>
    <xf numFmtId="2" fontId="0" fillId="0" borderId="0" xfId="0" applyNumberFormat="1"/>
    <xf numFmtId="2" fontId="1" fillId="0" borderId="0" xfId="0" applyNumberFormat="1" applyFont="1" applyAlignment="1">
      <alignment horizontal="center"/>
    </xf>
    <xf numFmtId="2" fontId="21" fillId="0" borderId="7" xfId="0" applyNumberFormat="1" applyFont="1" applyBorder="1" applyAlignment="1">
      <alignment horizontal="center"/>
    </xf>
    <xf numFmtId="0" fontId="1" fillId="0" borderId="0" xfId="0" applyFont="1" applyBorder="1"/>
    <xf numFmtId="0" fontId="2" fillId="0" borderId="0" xfId="0" applyFont="1" applyAlignment="1">
      <alignment horizontal="right"/>
    </xf>
    <xf numFmtId="0" fontId="2" fillId="0" borderId="0" xfId="0" applyFont="1" applyAlignment="1">
      <alignment vertical="center"/>
    </xf>
    <xf numFmtId="2" fontId="2" fillId="0" borderId="0" xfId="0" applyNumberFormat="1" applyFont="1" applyAlignment="1">
      <alignment horizontal="center"/>
    </xf>
    <xf numFmtId="0" fontId="1" fillId="0" borderId="0" xfId="0" applyFont="1" applyAlignment="1">
      <alignment horizontal="center"/>
    </xf>
    <xf numFmtId="2" fontId="1" fillId="0" borderId="0" xfId="0" applyNumberFormat="1" applyFont="1" applyBorder="1" applyAlignment="1">
      <alignment horizontal="center"/>
    </xf>
    <xf numFmtId="0" fontId="4" fillId="0" borderId="0" xfId="0" applyFont="1"/>
    <xf numFmtId="0" fontId="1" fillId="0" borderId="0" xfId="0" applyFont="1" applyAlignment="1">
      <alignment horizontal="center" vertical="top"/>
    </xf>
    <xf numFmtId="0" fontId="1" fillId="0" borderId="0" xfId="0" applyFont="1" applyAlignment="1">
      <alignment vertical="top"/>
    </xf>
    <xf numFmtId="0" fontId="19" fillId="0" borderId="0" xfId="0" applyFont="1" applyAlignment="1">
      <alignment horizontal="center" vertical="top"/>
    </xf>
    <xf numFmtId="0" fontId="6" fillId="0" borderId="0" xfId="0" applyFont="1" applyAlignment="1">
      <alignment vertical="top"/>
    </xf>
    <xf numFmtId="0" fontId="3" fillId="0" borderId="0" xfId="0" applyFont="1" applyAlignment="1">
      <alignment vertical="top"/>
    </xf>
    <xf numFmtId="0" fontId="3" fillId="0" borderId="0" xfId="0" applyFont="1" applyAlignment="1">
      <alignment vertical="top" shrinkToFit="1"/>
    </xf>
    <xf numFmtId="0" fontId="2" fillId="0" borderId="0" xfId="0" applyFont="1" applyAlignment="1">
      <alignment vertical="top"/>
    </xf>
    <xf numFmtId="0" fontId="2" fillId="0" borderId="0" xfId="0" applyFont="1" applyAlignment="1">
      <alignment horizontal="justify" vertical="top" wrapText="1"/>
    </xf>
    <xf numFmtId="2" fontId="1" fillId="0" borderId="0" xfId="0" applyNumberFormat="1" applyFont="1" applyAlignment="1"/>
    <xf numFmtId="0" fontId="21" fillId="0" borderId="0" xfId="0" applyFont="1"/>
    <xf numFmtId="0" fontId="5" fillId="0" borderId="0" xfId="0" applyFont="1" applyAlignment="1">
      <alignment horizontal="justify" vertical="center" wrapText="1"/>
    </xf>
    <xf numFmtId="2" fontId="1" fillId="0" borderId="0" xfId="0" applyNumberFormat="1" applyFont="1" applyAlignment="1">
      <alignment horizontal="center" vertical="center"/>
    </xf>
    <xf numFmtId="0" fontId="2" fillId="0" borderId="0" xfId="0" applyFont="1" applyAlignment="1">
      <alignment horizontal="justify" vertical="center" wrapText="1"/>
    </xf>
    <xf numFmtId="0" fontId="5" fillId="0" borderId="0" xfId="0" applyFont="1" applyAlignment="1">
      <alignment vertical="center"/>
    </xf>
    <xf numFmtId="0" fontId="5" fillId="0" borderId="0" xfId="0" applyFont="1" applyBorder="1" applyAlignment="1">
      <alignment vertical="center"/>
    </xf>
    <xf numFmtId="2" fontId="22" fillId="0" borderId="7" xfId="0" applyNumberFormat="1" applyFont="1" applyBorder="1" applyAlignment="1">
      <alignment horizontal="center" vertical="center"/>
    </xf>
    <xf numFmtId="0" fontId="5" fillId="0" borderId="0" xfId="0" applyFont="1" applyBorder="1"/>
    <xf numFmtId="2" fontId="1" fillId="0" borderId="0" xfId="0" applyNumberFormat="1" applyFont="1" applyAlignment="1">
      <alignment horizontal="center" vertical="top"/>
    </xf>
    <xf numFmtId="0" fontId="2" fillId="0" borderId="0" xfId="0" applyFont="1" applyAlignment="1">
      <alignment vertical="center" wrapText="1"/>
    </xf>
    <xf numFmtId="0" fontId="2" fillId="0" borderId="0" xfId="0" applyFont="1" applyAlignment="1">
      <alignment horizontal="right" vertical="top"/>
    </xf>
    <xf numFmtId="43" fontId="2" fillId="0" borderId="0" xfId="1" applyFont="1" applyBorder="1" applyAlignment="1">
      <alignment vertical="top"/>
    </xf>
    <xf numFmtId="0" fontId="20" fillId="0" borderId="0" xfId="0" applyFont="1"/>
    <xf numFmtId="0" fontId="2" fillId="0" borderId="0" xfId="0" applyFont="1" applyBorder="1"/>
    <xf numFmtId="0" fontId="5" fillId="0" borderId="0" xfId="0" applyFont="1" applyAlignment="1">
      <alignment horizontal="justify" vertical="top" wrapText="1"/>
    </xf>
    <xf numFmtId="0" fontId="1" fillId="0" borderId="0" xfId="0" applyFont="1" applyAlignment="1">
      <alignment horizontal="right"/>
    </xf>
    <xf numFmtId="2" fontId="22" fillId="0" borderId="7" xfId="0" applyNumberFormat="1" applyFont="1" applyBorder="1" applyAlignment="1">
      <alignment horizontal="center"/>
    </xf>
    <xf numFmtId="2" fontId="2" fillId="0" borderId="0" xfId="0" applyNumberFormat="1" applyFont="1" applyAlignment="1"/>
    <xf numFmtId="43" fontId="2" fillId="0" borderId="0" xfId="1" applyFont="1" applyBorder="1" applyAlignment="1">
      <alignment horizontal="center"/>
    </xf>
    <xf numFmtId="0" fontId="2" fillId="0" borderId="0" xfId="0" applyFont="1" applyAlignment="1">
      <alignment horizontal="center" vertical="top"/>
    </xf>
    <xf numFmtId="0" fontId="1" fillId="0" borderId="10" xfId="0" applyFont="1" applyBorder="1"/>
    <xf numFmtId="43" fontId="2" fillId="0" borderId="0" xfId="1" applyFont="1" applyBorder="1" applyAlignment="1">
      <alignment horizontal="center" vertical="top"/>
    </xf>
    <xf numFmtId="0" fontId="24" fillId="0" borderId="0" xfId="0" applyFont="1" applyAlignment="1">
      <alignment vertical="top" wrapText="1"/>
    </xf>
    <xf numFmtId="0" fontId="24" fillId="0" borderId="0" xfId="0" applyFont="1" applyAlignment="1">
      <alignment vertical="top"/>
    </xf>
    <xf numFmtId="0" fontId="24" fillId="0" borderId="0" xfId="0" applyFont="1"/>
    <xf numFmtId="0" fontId="11" fillId="0" borderId="4" xfId="0" applyNumberFormat="1" applyFont="1" applyFill="1" applyBorder="1" applyAlignment="1">
      <alignment horizontal="justify" vertical="top" wrapText="1"/>
    </xf>
    <xf numFmtId="0" fontId="25" fillId="0" borderId="0" xfId="0" applyFont="1" applyAlignment="1">
      <alignment horizontal="justify"/>
    </xf>
    <xf numFmtId="0" fontId="12" fillId="0" borderId="7" xfId="0" applyFont="1" applyFill="1" applyBorder="1" applyAlignment="1">
      <alignment horizontal="center" vertical="top" wrapText="1"/>
    </xf>
    <xf numFmtId="0" fontId="12" fillId="0" borderId="5" xfId="0" applyNumberFormat="1" applyFont="1" applyFill="1" applyBorder="1" applyAlignment="1">
      <alignment horizontal="justify" vertical="top" wrapText="1"/>
    </xf>
    <xf numFmtId="0" fontId="12" fillId="0" borderId="11" xfId="0" applyFont="1" applyFill="1" applyBorder="1" applyAlignment="1">
      <alignment horizontal="center" vertical="top" wrapText="1"/>
    </xf>
    <xf numFmtId="0" fontId="12" fillId="0" borderId="1" xfId="0" applyFont="1" applyBorder="1" applyAlignment="1">
      <alignment horizontal="justify" vertical="top" wrapText="1"/>
    </xf>
    <xf numFmtId="0" fontId="12" fillId="0" borderId="7" xfId="0" applyFont="1" applyFill="1" applyBorder="1" applyAlignment="1">
      <alignment vertical="top" wrapText="1"/>
    </xf>
    <xf numFmtId="0" fontId="29" fillId="0" borderId="0" xfId="0" applyFont="1"/>
    <xf numFmtId="0" fontId="29" fillId="0" borderId="0" xfId="0" applyFont="1" applyAlignment="1">
      <alignment horizontal="center"/>
    </xf>
    <xf numFmtId="0" fontId="30" fillId="0" borderId="0" xfId="0" applyFont="1" applyAlignment="1">
      <alignment horizontal="left" vertical="top" wrapText="1"/>
    </xf>
    <xf numFmtId="0" fontId="29" fillId="0" borderId="0" xfId="0" applyFont="1" applyAlignment="1">
      <alignment vertical="top"/>
    </xf>
    <xf numFmtId="0" fontId="29" fillId="0" borderId="0" xfId="0" applyFont="1" applyAlignment="1">
      <alignment horizontal="center" vertical="top"/>
    </xf>
    <xf numFmtId="0" fontId="29" fillId="0" borderId="0" xfId="0" applyFont="1" applyAlignment="1">
      <alignment horizontal="left" vertical="top" wrapText="1"/>
    </xf>
    <xf numFmtId="2" fontId="28" fillId="0" borderId="0" xfId="0" applyNumberFormat="1" applyFont="1" applyAlignment="1">
      <alignment horizontal="center" vertical="center"/>
    </xf>
    <xf numFmtId="0" fontId="28" fillId="0" borderId="0" xfId="0" applyFont="1" applyAlignment="1">
      <alignment horizontal="center" vertical="top"/>
    </xf>
    <xf numFmtId="0" fontId="25" fillId="0" borderId="0" xfId="0" applyFont="1"/>
    <xf numFmtId="0" fontId="25" fillId="0" borderId="0" xfId="0" applyFont="1" applyAlignment="1">
      <alignment horizontal="justify" vertical="top" wrapText="1"/>
    </xf>
    <xf numFmtId="0" fontId="27" fillId="0" borderId="0" xfId="0" applyFont="1" applyAlignment="1">
      <alignment horizontal="right" vertical="center"/>
    </xf>
    <xf numFmtId="2" fontId="27" fillId="0" borderId="0" xfId="0" applyNumberFormat="1" applyFont="1" applyAlignment="1">
      <alignment horizontal="center" vertical="center"/>
    </xf>
    <xf numFmtId="0" fontId="28" fillId="0" borderId="0" xfId="0" applyFont="1"/>
    <xf numFmtId="2" fontId="28" fillId="0" borderId="0" xfId="0" applyNumberFormat="1" applyFont="1" applyAlignment="1">
      <alignment horizontal="center"/>
    </xf>
    <xf numFmtId="0" fontId="30" fillId="0" borderId="0" xfId="0" applyFont="1" applyAlignment="1">
      <alignment horizontal="right" vertical="center"/>
    </xf>
    <xf numFmtId="2" fontId="30" fillId="0" borderId="0" xfId="0" applyNumberFormat="1" applyFont="1" applyAlignment="1">
      <alignment horizontal="center" vertical="center"/>
    </xf>
    <xf numFmtId="0" fontId="25" fillId="0" borderId="0" xfId="0" applyFont="1" applyBorder="1" applyAlignment="1">
      <alignment horizontal="right"/>
    </xf>
    <xf numFmtId="2" fontId="32" fillId="0" borderId="7" xfId="0" applyNumberFormat="1" applyFont="1" applyBorder="1" applyAlignment="1">
      <alignment horizontal="center"/>
    </xf>
    <xf numFmtId="0" fontId="25" fillId="0" borderId="0" xfId="0" applyFont="1" applyBorder="1"/>
    <xf numFmtId="0" fontId="30" fillId="0" borderId="0" xfId="0" applyFont="1" applyAlignment="1">
      <alignment vertical="top" wrapText="1"/>
    </xf>
    <xf numFmtId="0" fontId="30" fillId="0" borderId="0" xfId="0" applyFont="1" applyAlignment="1">
      <alignment horizontal="right"/>
    </xf>
    <xf numFmtId="0" fontId="30" fillId="0" borderId="0" xfId="0" applyFont="1" applyAlignment="1">
      <alignment vertical="center"/>
    </xf>
    <xf numFmtId="0" fontId="25" fillId="0" borderId="0" xfId="0" applyFont="1" applyAlignment="1">
      <alignment vertical="center"/>
    </xf>
    <xf numFmtId="43" fontId="30" fillId="0" borderId="0" xfId="1" applyFont="1" applyBorder="1" applyAlignment="1">
      <alignment horizontal="center" vertical="center"/>
    </xf>
    <xf numFmtId="0" fontId="30" fillId="0" borderId="0" xfId="0" applyFont="1"/>
    <xf numFmtId="43" fontId="30" fillId="0" borderId="0" xfId="1" applyFont="1" applyBorder="1" applyAlignment="1"/>
    <xf numFmtId="43" fontId="25" fillId="0" borderId="0" xfId="0" applyNumberFormat="1" applyFont="1"/>
    <xf numFmtId="2" fontId="25" fillId="0" borderId="0" xfId="0" applyNumberFormat="1" applyFont="1"/>
    <xf numFmtId="2" fontId="30" fillId="0" borderId="0" xfId="0" applyNumberFormat="1" applyFont="1" applyAlignment="1">
      <alignment horizontal="center"/>
    </xf>
    <xf numFmtId="0" fontId="25" fillId="0" borderId="0" xfId="0" applyFont="1" applyAlignment="1">
      <alignment horizontal="center"/>
    </xf>
    <xf numFmtId="2" fontId="25" fillId="0" borderId="0" xfId="0" applyNumberFormat="1" applyFont="1" applyBorder="1" applyAlignment="1">
      <alignment horizontal="center"/>
    </xf>
    <xf numFmtId="0" fontId="7" fillId="0" borderId="0" xfId="0" applyFont="1" applyFill="1" applyAlignment="1">
      <alignment horizontal="center" wrapText="1"/>
    </xf>
    <xf numFmtId="0" fontId="8" fillId="0" borderId="0" xfId="0" applyFont="1" applyAlignment="1">
      <alignment horizontal="center" wrapText="1"/>
    </xf>
    <xf numFmtId="0" fontId="0" fillId="0" borderId="0" xfId="0" applyAlignment="1"/>
    <xf numFmtId="0" fontId="2" fillId="0" borderId="0" xfId="0" applyFont="1" applyAlignment="1">
      <alignment horizontal="center" wrapText="1"/>
    </xf>
    <xf numFmtId="0" fontId="0" fillId="0" borderId="0" xfId="0" applyAlignment="1"/>
    <xf numFmtId="0" fontId="2" fillId="0" borderId="0" xfId="0" applyFont="1" applyAlignment="1">
      <alignment horizontal="center" wrapText="1"/>
    </xf>
    <xf numFmtId="0" fontId="0" fillId="0" borderId="0" xfId="0" applyAlignment="1"/>
    <xf numFmtId="0" fontId="12" fillId="0" borderId="0" xfId="0" applyFont="1" applyBorder="1" applyAlignment="1">
      <alignment horizontal="left" vertical="top" wrapText="1"/>
    </xf>
    <xf numFmtId="0" fontId="2" fillId="0" borderId="0" xfId="0" applyFont="1" applyAlignment="1">
      <alignment horizontal="center" wrapText="1"/>
    </xf>
    <xf numFmtId="0" fontId="8" fillId="0" borderId="0" xfId="0" applyFont="1" applyAlignment="1">
      <alignment horizontal="center" wrapText="1"/>
    </xf>
    <xf numFmtId="0" fontId="0" fillId="0" borderId="0" xfId="0" applyAlignment="1"/>
    <xf numFmtId="0" fontId="2" fillId="0" borderId="0" xfId="0" applyFont="1" applyAlignment="1">
      <alignment horizontal="center" wrapText="1"/>
    </xf>
    <xf numFmtId="2" fontId="12" fillId="0" borderId="12" xfId="0" applyNumberFormat="1" applyFont="1" applyFill="1" applyBorder="1" applyAlignment="1">
      <alignment horizontal="left"/>
    </xf>
    <xf numFmtId="0" fontId="0" fillId="0" borderId="0" xfId="0" applyAlignment="1"/>
    <xf numFmtId="0" fontId="2" fillId="0" borderId="0" xfId="0" applyFont="1" applyAlignment="1">
      <alignment horizontal="center" wrapText="1"/>
    </xf>
    <xf numFmtId="0" fontId="0" fillId="0" borderId="0" xfId="0" applyAlignment="1">
      <alignment horizontal="center" vertical="center"/>
    </xf>
    <xf numFmtId="0" fontId="0" fillId="0" borderId="0" xfId="0" applyAlignment="1"/>
    <xf numFmtId="0" fontId="2" fillId="0" borderId="0" xfId="0" applyFont="1" applyAlignment="1">
      <alignment horizontal="center" wrapText="1"/>
    </xf>
    <xf numFmtId="0" fontId="12" fillId="0" borderId="9" xfId="0" applyFont="1" applyBorder="1" applyAlignment="1">
      <alignment vertical="top" wrapText="1"/>
    </xf>
    <xf numFmtId="0" fontId="12" fillId="0" borderId="9" xfId="0" applyNumberFormat="1" applyFont="1" applyFill="1" applyBorder="1" applyAlignment="1">
      <alignment horizontal="right" vertical="top" wrapText="1"/>
    </xf>
    <xf numFmtId="0" fontId="12" fillId="0" borderId="4" xfId="0" applyFont="1" applyFill="1" applyBorder="1" applyAlignment="1">
      <alignment horizontal="right" vertical="top"/>
    </xf>
    <xf numFmtId="0" fontId="12" fillId="0" borderId="9" xfId="0" applyFont="1" applyFill="1" applyBorder="1" applyAlignment="1">
      <alignment vertical="top" wrapText="1"/>
    </xf>
    <xf numFmtId="0" fontId="12" fillId="0" borderId="0" xfId="0" applyNumberFormat="1" applyFont="1" applyFill="1" applyBorder="1" applyAlignment="1">
      <alignment horizontal="justify" vertical="top" wrapText="1"/>
    </xf>
    <xf numFmtId="0" fontId="0" fillId="0" borderId="0" xfId="0" applyAlignment="1"/>
    <xf numFmtId="0" fontId="12" fillId="0" borderId="4" xfId="0" applyFont="1" applyBorder="1" applyAlignment="1">
      <alignment horizontal="right" vertical="center" wrapText="1"/>
    </xf>
    <xf numFmtId="0" fontId="7" fillId="0" borderId="0" xfId="0" applyFont="1" applyFill="1" applyAlignment="1">
      <alignment horizontal="center" wrapText="1"/>
    </xf>
    <xf numFmtId="0" fontId="8" fillId="0" borderId="0" xfId="0" applyFont="1" applyAlignment="1">
      <alignment horizontal="center" wrapText="1"/>
    </xf>
    <xf numFmtId="0" fontId="12" fillId="0" borderId="0" xfId="0" applyFont="1" applyBorder="1" applyAlignment="1">
      <alignment horizontal="left" vertical="top" wrapText="1"/>
    </xf>
    <xf numFmtId="0" fontId="2" fillId="0" borderId="0" xfId="0" applyFont="1" applyAlignment="1">
      <alignment horizontal="center" wrapText="1"/>
    </xf>
    <xf numFmtId="0" fontId="2" fillId="0" borderId="0" xfId="0" applyFont="1" applyAlignment="1">
      <alignment horizontal="center" vertical="center" wrapText="1"/>
    </xf>
    <xf numFmtId="0" fontId="0" fillId="0" borderId="0" xfId="0" applyAlignment="1">
      <alignment horizontal="center" wrapText="1"/>
    </xf>
    <xf numFmtId="0" fontId="12" fillId="0" borderId="4" xfId="0" applyNumberFormat="1" applyFont="1" applyFill="1" applyBorder="1" applyAlignment="1">
      <alignment horizontal="right" vertical="top" wrapText="1"/>
    </xf>
    <xf numFmtId="1" fontId="12" fillId="0" borderId="0" xfId="0" applyNumberFormat="1" applyFont="1" applyFill="1" applyBorder="1" applyAlignment="1">
      <alignment horizontal="left" wrapText="1"/>
    </xf>
    <xf numFmtId="0" fontId="12" fillId="0" borderId="0" xfId="0" applyFont="1" applyAlignment="1">
      <alignment horizontal="left" wrapText="1"/>
    </xf>
    <xf numFmtId="2" fontId="9" fillId="0" borderId="0" xfId="0" applyNumberFormat="1" applyFont="1" applyFill="1" applyBorder="1" applyAlignment="1">
      <alignment horizontal="right"/>
    </xf>
    <xf numFmtId="0" fontId="12" fillId="0" borderId="4" xfId="0" applyFont="1" applyBorder="1" applyAlignment="1">
      <alignment horizontal="right" vertical="center" wrapText="1"/>
    </xf>
    <xf numFmtId="0" fontId="11" fillId="0" borderId="4" xfId="0" applyFont="1" applyBorder="1" applyAlignment="1">
      <alignment horizontal="right" vertical="top"/>
    </xf>
    <xf numFmtId="0" fontId="11" fillId="0" borderId="4" xfId="0" applyFont="1" applyBorder="1" applyAlignment="1">
      <alignment horizontal="right" vertical="center"/>
    </xf>
    <xf numFmtId="0" fontId="12" fillId="2" borderId="4" xfId="0" applyNumberFormat="1" applyFont="1" applyFill="1" applyBorder="1" applyAlignment="1">
      <alignment horizontal="justify" vertical="top" wrapText="1"/>
    </xf>
    <xf numFmtId="0" fontId="12" fillId="0" borderId="5" xfId="0" applyFont="1" applyBorder="1" applyAlignment="1">
      <alignment horizontal="justify" vertical="top" wrapText="1"/>
    </xf>
    <xf numFmtId="0" fontId="12" fillId="0" borderId="12" xfId="0" applyNumberFormat="1" applyFont="1" applyFill="1" applyBorder="1" applyAlignment="1">
      <alignment horizontal="justify" vertical="top" wrapText="1"/>
    </xf>
    <xf numFmtId="2" fontId="9" fillId="0" borderId="0" xfId="0" applyNumberFormat="1" applyFont="1" applyFill="1" applyBorder="1" applyAlignment="1">
      <alignment horizontal="center" vertical="center" wrapText="1"/>
    </xf>
    <xf numFmtId="0" fontId="8" fillId="0" borderId="0" xfId="0" applyFont="1" applyAlignment="1">
      <alignment horizontal="center" vertical="center" wrapText="1"/>
    </xf>
    <xf numFmtId="0" fontId="8" fillId="0" borderId="0" xfId="0" applyFont="1" applyBorder="1" applyAlignment="1">
      <alignment vertical="center"/>
    </xf>
    <xf numFmtId="0" fontId="8" fillId="0" borderId="0" xfId="0" applyFont="1" applyFill="1" applyAlignment="1">
      <alignment vertical="center"/>
    </xf>
    <xf numFmtId="0" fontId="8" fillId="0" borderId="0" xfId="0" applyFont="1" applyAlignment="1">
      <alignment horizontal="center" vertical="center"/>
    </xf>
    <xf numFmtId="2" fontId="12" fillId="0" borderId="4" xfId="0" applyNumberFormat="1" applyFont="1" applyFill="1" applyBorder="1" applyAlignment="1">
      <alignment horizontal="center" vertical="center"/>
    </xf>
    <xf numFmtId="1" fontId="12" fillId="0" borderId="14" xfId="0" applyNumberFormat="1" applyFont="1" applyFill="1" applyBorder="1" applyAlignment="1">
      <alignment horizontal="center"/>
    </xf>
    <xf numFmtId="2" fontId="12" fillId="0" borderId="13" xfId="0" applyNumberFormat="1" applyFont="1" applyFill="1" applyBorder="1" applyAlignment="1">
      <alignment horizontal="center"/>
    </xf>
    <xf numFmtId="2" fontId="11" fillId="0" borderId="4" xfId="0" applyNumberFormat="1" applyFont="1" applyFill="1" applyBorder="1" applyAlignment="1">
      <alignment horizontal="right"/>
    </xf>
    <xf numFmtId="2" fontId="11" fillId="0" borderId="0" xfId="0" applyNumberFormat="1" applyFont="1" applyFill="1" applyBorder="1" applyAlignment="1">
      <alignment horizontal="center" vertical="center"/>
    </xf>
    <xf numFmtId="2" fontId="11" fillId="0" borderId="13" xfId="0" applyNumberFormat="1" applyFont="1" applyFill="1" applyBorder="1" applyAlignment="1">
      <alignment horizontal="center" vertical="center"/>
    </xf>
    <xf numFmtId="2" fontId="11" fillId="0" borderId="12" xfId="0" applyNumberFormat="1" applyFont="1" applyFill="1" applyBorder="1" applyAlignment="1">
      <alignment horizontal="left"/>
    </xf>
    <xf numFmtId="1" fontId="12" fillId="0" borderId="9" xfId="0" applyNumberFormat="1" applyFont="1" applyFill="1" applyBorder="1" applyAlignment="1">
      <alignment horizontal="center"/>
    </xf>
    <xf numFmtId="2" fontId="12" fillId="0" borderId="0" xfId="0" applyNumberFormat="1" applyFont="1" applyFill="1" applyBorder="1" applyAlignment="1">
      <alignment horizontal="center" vertical="center"/>
    </xf>
    <xf numFmtId="0" fontId="3" fillId="0" borderId="9" xfId="0" applyFont="1" applyBorder="1"/>
    <xf numFmtId="0" fontId="3" fillId="0" borderId="4" xfId="0" applyFont="1" applyBorder="1" applyAlignment="1">
      <alignment vertical="center"/>
    </xf>
    <xf numFmtId="0" fontId="12" fillId="0" borderId="0" xfId="0" applyFont="1" applyBorder="1" applyAlignment="1">
      <alignment horizontal="center" vertical="center"/>
    </xf>
    <xf numFmtId="2" fontId="12" fillId="0" borderId="0" xfId="0" applyNumberFormat="1" applyFont="1" applyFill="1" applyBorder="1" applyAlignment="1">
      <alignment horizontal="right" vertical="center" wrapText="1"/>
    </xf>
    <xf numFmtId="2" fontId="11" fillId="0" borderId="0" xfId="0" applyNumberFormat="1" applyFont="1" applyFill="1" applyBorder="1" applyAlignment="1">
      <alignment horizontal="right"/>
    </xf>
    <xf numFmtId="2" fontId="11" fillId="0" borderId="0" xfId="0" applyNumberFormat="1" applyFont="1" applyFill="1" applyBorder="1" applyAlignment="1">
      <alignment horizontal="left"/>
    </xf>
    <xf numFmtId="0" fontId="12" fillId="0" borderId="12" xfId="0" applyFont="1" applyBorder="1" applyAlignment="1">
      <alignment horizontal="right" vertical="center" wrapText="1"/>
    </xf>
    <xf numFmtId="2" fontId="12" fillId="0" borderId="0" xfId="0" applyNumberFormat="1" applyFont="1" applyFill="1" applyBorder="1" applyAlignment="1">
      <alignment horizontal="left"/>
    </xf>
    <xf numFmtId="2" fontId="12" fillId="0" borderId="9" xfId="0" applyNumberFormat="1" applyFont="1" applyFill="1" applyBorder="1" applyAlignment="1">
      <alignment horizontal="center"/>
    </xf>
    <xf numFmtId="2" fontId="12" fillId="0" borderId="9" xfId="0" applyNumberFormat="1" applyFont="1" applyFill="1" applyBorder="1" applyAlignment="1">
      <alignment horizontal="right" vertical="center" wrapText="1"/>
    </xf>
    <xf numFmtId="2" fontId="12" fillId="0" borderId="4" xfId="0" applyNumberFormat="1" applyFont="1" applyFill="1" applyBorder="1" applyAlignment="1">
      <alignment horizontal="right" vertical="center" wrapText="1"/>
    </xf>
    <xf numFmtId="2" fontId="12" fillId="0" borderId="4" xfId="0" applyNumberFormat="1" applyFont="1" applyFill="1" applyBorder="1" applyAlignment="1">
      <alignment horizontal="center" vertical="center" wrapText="1"/>
    </xf>
    <xf numFmtId="0" fontId="12" fillId="0" borderId="12" xfId="0" applyFont="1" applyBorder="1" applyAlignment="1">
      <alignment horizontal="center" vertical="center" wrapText="1"/>
    </xf>
    <xf numFmtId="1" fontId="12" fillId="0" borderId="0" xfId="0" applyNumberFormat="1" applyFont="1" applyFill="1" applyBorder="1" applyAlignment="1">
      <alignment horizontal="center" vertical="center"/>
    </xf>
    <xf numFmtId="2" fontId="12" fillId="0" borderId="5" xfId="0" applyNumberFormat="1" applyFont="1" applyFill="1" applyBorder="1" applyAlignment="1">
      <alignment horizontal="center" vertical="center" wrapText="1"/>
    </xf>
    <xf numFmtId="0" fontId="12" fillId="0" borderId="6" xfId="0" applyFont="1" applyBorder="1" applyAlignment="1">
      <alignment horizontal="center" vertical="center" wrapText="1"/>
    </xf>
    <xf numFmtId="2" fontId="12" fillId="0" borderId="7" xfId="0" applyNumberFormat="1" applyFont="1" applyFill="1" applyBorder="1" applyAlignment="1">
      <alignment horizontal="center" vertical="center"/>
    </xf>
    <xf numFmtId="2" fontId="35" fillId="0" borderId="12" xfId="0" applyNumberFormat="1" applyFont="1" applyFill="1" applyBorder="1" applyAlignment="1">
      <alignment horizontal="left"/>
    </xf>
    <xf numFmtId="1" fontId="12" fillId="0" borderId="9" xfId="0" applyNumberFormat="1" applyFont="1" applyFill="1" applyBorder="1" applyAlignment="1">
      <alignment horizontal="center" vertical="center"/>
    </xf>
    <xf numFmtId="2" fontId="12" fillId="0" borderId="9" xfId="0" applyNumberFormat="1" applyFont="1" applyFill="1" applyBorder="1" applyAlignment="1">
      <alignment horizontal="center" vertical="center"/>
    </xf>
    <xf numFmtId="2" fontId="12" fillId="0" borderId="9" xfId="0" applyNumberFormat="1" applyFont="1" applyFill="1" applyBorder="1" applyAlignment="1">
      <alignment horizontal="center" vertical="center" wrapText="1"/>
    </xf>
    <xf numFmtId="0" fontId="12" fillId="0" borderId="4" xfId="0" applyFont="1" applyBorder="1" applyAlignment="1">
      <alignment horizontal="center" vertical="center" wrapText="1"/>
    </xf>
    <xf numFmtId="0" fontId="12" fillId="0" borderId="9" xfId="0" applyFont="1" applyBorder="1" applyAlignment="1">
      <alignment horizontal="center" vertical="center" wrapText="1"/>
    </xf>
    <xf numFmtId="0" fontId="3" fillId="0" borderId="9" xfId="0" applyFont="1" applyBorder="1" applyAlignment="1">
      <alignment vertical="center"/>
    </xf>
    <xf numFmtId="0" fontId="3" fillId="0" borderId="9" xfId="0" applyFont="1" applyBorder="1" applyAlignment="1">
      <alignment horizontal="center" vertical="center"/>
    </xf>
    <xf numFmtId="2" fontId="12" fillId="0" borderId="12" xfId="0" applyNumberFormat="1" applyFont="1" applyFill="1" applyBorder="1" applyAlignment="1">
      <alignment horizontal="center" vertical="center"/>
    </xf>
    <xf numFmtId="0" fontId="3" fillId="0" borderId="9" xfId="0" applyFont="1" applyFill="1" applyBorder="1" applyAlignment="1">
      <alignment horizontal="right" wrapText="1"/>
    </xf>
    <xf numFmtId="2" fontId="11" fillId="0" borderId="15" xfId="0" applyNumberFormat="1" applyFont="1" applyFill="1" applyBorder="1" applyAlignment="1">
      <alignment horizontal="center" vertical="center"/>
    </xf>
    <xf numFmtId="0" fontId="11" fillId="0" borderId="9" xfId="0" applyNumberFormat="1" applyFont="1" applyFill="1" applyBorder="1" applyAlignment="1">
      <alignment horizontal="right" vertical="top" wrapText="1"/>
    </xf>
    <xf numFmtId="0" fontId="12" fillId="0" borderId="4" xfId="0" applyFont="1" applyFill="1" applyBorder="1" applyAlignment="1">
      <alignment horizontal="center" vertical="center"/>
    </xf>
    <xf numFmtId="0" fontId="11" fillId="0" borderId="0" xfId="0" applyNumberFormat="1" applyFont="1" applyFill="1" applyBorder="1" applyAlignment="1">
      <alignment horizontal="right" vertical="top" wrapText="1"/>
    </xf>
    <xf numFmtId="2" fontId="11" fillId="0" borderId="12" xfId="0" applyNumberFormat="1" applyFont="1" applyFill="1" applyBorder="1" applyAlignment="1">
      <alignment horizontal="right"/>
    </xf>
    <xf numFmtId="0" fontId="12" fillId="0" borderId="4" xfId="0" applyFont="1" applyFill="1" applyBorder="1" applyAlignment="1">
      <alignment horizontal="center" vertical="top"/>
    </xf>
    <xf numFmtId="0" fontId="3" fillId="0" borderId="0" xfId="0" applyFont="1" applyAlignment="1">
      <alignment horizontal="left"/>
    </xf>
    <xf numFmtId="0" fontId="12" fillId="0" borderId="4" xfId="0" applyFont="1" applyBorder="1" applyAlignment="1">
      <alignment horizontal="center" vertical="center"/>
    </xf>
    <xf numFmtId="2" fontId="11" fillId="0" borderId="4" xfId="0" applyNumberFormat="1" applyFont="1" applyFill="1" applyBorder="1" applyAlignment="1">
      <alignment horizontal="center" vertical="center"/>
    </xf>
    <xf numFmtId="0" fontId="3" fillId="0" borderId="0" xfId="0" applyFont="1" applyFill="1" applyAlignment="1">
      <alignment horizontal="left"/>
    </xf>
    <xf numFmtId="0" fontId="12" fillId="0" borderId="4" xfId="0" applyFont="1" applyBorder="1" applyAlignment="1">
      <alignment horizontal="center" vertical="top"/>
    </xf>
    <xf numFmtId="0" fontId="11" fillId="0" borderId="0" xfId="0" applyFont="1" applyFill="1" applyBorder="1" applyAlignment="1">
      <alignment horizontal="right" vertical="top" wrapText="1"/>
    </xf>
    <xf numFmtId="2" fontId="11" fillId="0" borderId="7" xfId="0" applyNumberFormat="1" applyFont="1" applyFill="1" applyBorder="1" applyAlignment="1">
      <alignment horizontal="center" vertical="center"/>
    </xf>
    <xf numFmtId="2" fontId="11" fillId="0" borderId="5" xfId="0" applyNumberFormat="1" applyFont="1" applyFill="1" applyBorder="1" applyAlignment="1">
      <alignment horizontal="center" vertical="center"/>
    </xf>
    <xf numFmtId="0" fontId="3" fillId="0" borderId="12" xfId="0" applyFont="1" applyBorder="1" applyAlignment="1">
      <alignment horizontal="left"/>
    </xf>
    <xf numFmtId="0" fontId="11" fillId="0" borderId="12" xfId="0" applyFont="1" applyBorder="1" applyAlignment="1">
      <alignment horizontal="center" vertical="center" wrapText="1"/>
    </xf>
    <xf numFmtId="2" fontId="11" fillId="0" borderId="1" xfId="0" applyNumberFormat="1" applyFont="1" applyFill="1" applyBorder="1" applyAlignment="1">
      <alignment horizontal="center" vertical="center"/>
    </xf>
    <xf numFmtId="0" fontId="12" fillId="0" borderId="12" xfId="0" applyFont="1" applyFill="1" applyBorder="1" applyAlignment="1">
      <alignment horizontal="right" vertical="center" wrapText="1"/>
    </xf>
    <xf numFmtId="0" fontId="12" fillId="0" borderId="12" xfId="0" applyFont="1" applyFill="1" applyBorder="1" applyAlignment="1">
      <alignment horizontal="center" vertical="center" wrapText="1"/>
    </xf>
    <xf numFmtId="0" fontId="12" fillId="0" borderId="4" xfId="0" applyFont="1" applyFill="1" applyBorder="1" applyAlignment="1">
      <alignment horizontal="center" vertical="center" wrapText="1"/>
    </xf>
    <xf numFmtId="2" fontId="11" fillId="0" borderId="3" xfId="0" applyNumberFormat="1" applyFont="1" applyFill="1" applyBorder="1" applyAlignment="1">
      <alignment horizontal="center" vertical="center"/>
    </xf>
    <xf numFmtId="0" fontId="3" fillId="0" borderId="12" xfId="0" applyFont="1" applyBorder="1" applyAlignment="1">
      <alignment horizontal="center" vertical="center"/>
    </xf>
    <xf numFmtId="2" fontId="11" fillId="0" borderId="12" xfId="0" applyNumberFormat="1" applyFont="1" applyFill="1" applyBorder="1" applyAlignment="1">
      <alignment horizontal="center" vertical="center"/>
    </xf>
    <xf numFmtId="0" fontId="3" fillId="0" borderId="0" xfId="0" applyFont="1" applyAlignment="1">
      <alignment vertical="center"/>
    </xf>
    <xf numFmtId="0" fontId="3" fillId="0" borderId="0" xfId="0" applyFont="1" applyAlignment="1">
      <alignment horizontal="center" vertical="center"/>
    </xf>
    <xf numFmtId="0" fontId="11" fillId="0" borderId="4" xfId="0" applyNumberFormat="1" applyFont="1" applyFill="1" applyBorder="1" applyAlignment="1">
      <alignment horizontal="left" vertical="top" wrapText="1"/>
    </xf>
    <xf numFmtId="2" fontId="11" fillId="0" borderId="4" xfId="0" applyNumberFormat="1" applyFont="1" applyFill="1" applyBorder="1" applyAlignment="1">
      <alignment horizontal="left"/>
    </xf>
    <xf numFmtId="0" fontId="11" fillId="0" borderId="4" xfId="0" applyNumberFormat="1" applyFont="1" applyFill="1" applyBorder="1" applyAlignment="1">
      <alignment horizontal="right" vertical="top" wrapText="1"/>
    </xf>
    <xf numFmtId="0" fontId="6" fillId="0" borderId="4" xfId="0" applyFont="1" applyBorder="1" applyAlignment="1">
      <alignment horizontal="right" wrapText="1"/>
    </xf>
    <xf numFmtId="0" fontId="6" fillId="0" borderId="12" xfId="0" applyFont="1" applyBorder="1" applyAlignment="1">
      <alignment horizontal="right" wrapText="1"/>
    </xf>
    <xf numFmtId="0" fontId="3" fillId="0" borderId="4" xfId="0" applyFont="1" applyBorder="1" applyAlignment="1">
      <alignment horizontal="center" vertical="center" wrapText="1"/>
    </xf>
    <xf numFmtId="2" fontId="3" fillId="0" borderId="4" xfId="0" applyNumberFormat="1" applyFont="1" applyBorder="1" applyAlignment="1">
      <alignment horizontal="center" vertical="center" wrapText="1"/>
    </xf>
    <xf numFmtId="0" fontId="3" fillId="0" borderId="12" xfId="0" applyFont="1" applyBorder="1" applyAlignment="1">
      <alignment horizontal="center" wrapText="1"/>
    </xf>
    <xf numFmtId="0" fontId="3" fillId="0" borderId="4" xfId="0" applyFont="1" applyFill="1" applyBorder="1" applyAlignment="1">
      <alignment horizontal="center" vertical="center" wrapText="1"/>
    </xf>
    <xf numFmtId="2" fontId="3" fillId="0" borderId="4" xfId="0" applyNumberFormat="1" applyFont="1" applyFill="1" applyBorder="1" applyAlignment="1">
      <alignment horizontal="center" vertical="center" wrapText="1"/>
    </xf>
    <xf numFmtId="0" fontId="3" fillId="0" borderId="12" xfId="0" applyFont="1" applyBorder="1" applyAlignment="1">
      <alignment horizontal="center" vertical="center" wrapText="1"/>
    </xf>
    <xf numFmtId="0" fontId="3" fillId="0" borderId="4" xfId="0" applyFont="1" applyBorder="1" applyAlignment="1">
      <alignment horizontal="center" wrapText="1"/>
    </xf>
    <xf numFmtId="0" fontId="3" fillId="0" borderId="0" xfId="0" applyFont="1" applyBorder="1" applyAlignment="1">
      <alignment horizontal="right" vertical="center" wrapText="1"/>
    </xf>
    <xf numFmtId="0" fontId="3" fillId="0" borderId="12" xfId="0" applyFont="1" applyBorder="1" applyAlignment="1">
      <alignment horizontal="right" vertical="center" wrapText="1"/>
    </xf>
    <xf numFmtId="0" fontId="12" fillId="0" borderId="0" xfId="0" applyFont="1" applyFill="1" applyBorder="1" applyAlignment="1">
      <alignment horizontal="right" vertical="top" wrapText="1"/>
    </xf>
    <xf numFmtId="0" fontId="6" fillId="0" borderId="4" xfId="0" applyFont="1" applyFill="1" applyBorder="1" applyAlignment="1">
      <alignment horizontal="right" wrapText="1"/>
    </xf>
    <xf numFmtId="0" fontId="3" fillId="0" borderId="9" xfId="0" applyFont="1" applyFill="1" applyBorder="1" applyAlignment="1">
      <alignment horizontal="center" vertical="center" wrapText="1"/>
    </xf>
    <xf numFmtId="2" fontId="3" fillId="0" borderId="9" xfId="0" applyNumberFormat="1" applyFont="1" applyFill="1" applyBorder="1" applyAlignment="1">
      <alignment horizontal="center" vertical="center" wrapText="1"/>
    </xf>
    <xf numFmtId="0" fontId="3" fillId="0" borderId="4" xfId="0" applyFont="1" applyFill="1" applyBorder="1" applyAlignment="1">
      <alignment horizontal="center" wrapText="1"/>
    </xf>
    <xf numFmtId="2" fontId="12" fillId="0" borderId="12" xfId="0" applyNumberFormat="1" applyFont="1" applyFill="1" applyBorder="1" applyAlignment="1">
      <alignment horizontal="center"/>
    </xf>
    <xf numFmtId="0" fontId="12" fillId="0" borderId="4" xfId="0" applyFont="1" applyBorder="1" applyAlignment="1">
      <alignment vertical="center"/>
    </xf>
    <xf numFmtId="0" fontId="3" fillId="0" borderId="0" xfId="0" applyFont="1" applyBorder="1"/>
    <xf numFmtId="0" fontId="3" fillId="0" borderId="12" xfId="0" applyFont="1" applyBorder="1" applyAlignment="1">
      <alignment vertical="center"/>
    </xf>
    <xf numFmtId="0" fontId="3" fillId="0" borderId="0" xfId="0" applyFont="1" applyAlignment="1">
      <alignment horizontal="right"/>
    </xf>
    <xf numFmtId="0" fontId="3" fillId="0" borderId="0" xfId="0" applyFont="1" applyBorder="1" applyAlignment="1">
      <alignment horizontal="right" wrapText="1"/>
    </xf>
    <xf numFmtId="0" fontId="3" fillId="0" borderId="4" xfId="0" applyFont="1" applyBorder="1" applyAlignment="1">
      <alignment horizontal="left"/>
    </xf>
    <xf numFmtId="2" fontId="11" fillId="0" borderId="0" xfId="0" applyNumberFormat="1" applyFont="1" applyFill="1" applyBorder="1" applyAlignment="1">
      <alignment horizontal="right" vertical="center" wrapText="1"/>
    </xf>
    <xf numFmtId="0" fontId="11" fillId="0" borderId="12" xfId="0" applyFont="1" applyBorder="1" applyAlignment="1">
      <alignment horizontal="right" vertical="center" wrapText="1"/>
    </xf>
    <xf numFmtId="0" fontId="11" fillId="0" borderId="12" xfId="0" applyNumberFormat="1" applyFont="1" applyFill="1" applyBorder="1" applyAlignment="1">
      <alignment horizontal="right" vertical="top" wrapText="1"/>
    </xf>
    <xf numFmtId="2" fontId="12" fillId="0" borderId="5" xfId="0" applyNumberFormat="1" applyFont="1" applyFill="1" applyBorder="1" applyAlignment="1">
      <alignment horizontal="center" vertical="center"/>
    </xf>
    <xf numFmtId="2" fontId="11" fillId="0" borderId="12" xfId="0" applyNumberFormat="1" applyFont="1" applyFill="1" applyBorder="1" applyAlignment="1">
      <alignment horizontal="left" vertical="center"/>
    </xf>
    <xf numFmtId="0" fontId="12" fillId="0" borderId="9" xfId="0" applyFont="1" applyFill="1" applyBorder="1" applyAlignment="1">
      <alignment horizontal="justify" vertical="top" wrapText="1"/>
    </xf>
    <xf numFmtId="0" fontId="3" fillId="0" borderId="4" xfId="0" applyFont="1" applyBorder="1" applyAlignment="1">
      <alignment horizontal="center" vertical="center"/>
    </xf>
    <xf numFmtId="0" fontId="12" fillId="0" borderId="5" xfId="0" applyFont="1" applyBorder="1" applyAlignment="1">
      <alignment horizontal="center" vertical="center"/>
    </xf>
    <xf numFmtId="0" fontId="6" fillId="0" borderId="5" xfId="0" applyFont="1" applyBorder="1" applyAlignment="1">
      <alignment horizontal="justify" vertical="top" wrapText="1"/>
    </xf>
    <xf numFmtId="0" fontId="3" fillId="0" borderId="5" xfId="0" applyFont="1" applyBorder="1" applyAlignment="1">
      <alignment horizontal="left"/>
    </xf>
    <xf numFmtId="2" fontId="11" fillId="0" borderId="6" xfId="0" applyNumberFormat="1" applyFont="1" applyFill="1" applyBorder="1" applyAlignment="1">
      <alignment horizontal="left" vertical="center"/>
    </xf>
    <xf numFmtId="2" fontId="11" fillId="0" borderId="4" xfId="0" applyNumberFormat="1" applyFont="1" applyFill="1" applyBorder="1" applyAlignment="1">
      <alignment horizontal="center"/>
    </xf>
    <xf numFmtId="1" fontId="12" fillId="0" borderId="4" xfId="0" applyNumberFormat="1" applyFont="1" applyFill="1" applyBorder="1" applyAlignment="1">
      <alignment horizontal="center"/>
    </xf>
    <xf numFmtId="2" fontId="12" fillId="0" borderId="12" xfId="0" applyNumberFormat="1" applyFont="1" applyFill="1" applyBorder="1" applyAlignment="1">
      <alignment horizontal="left" vertical="center"/>
    </xf>
    <xf numFmtId="1" fontId="12" fillId="0" borderId="0" xfId="0" applyNumberFormat="1" applyFont="1" applyFill="1" applyBorder="1" applyAlignment="1">
      <alignment horizontal="center" vertical="center" wrapText="1"/>
    </xf>
    <xf numFmtId="0" fontId="3" fillId="0" borderId="0" xfId="0" applyFont="1" applyBorder="1" applyAlignment="1">
      <alignment horizontal="center" vertical="center" wrapText="1"/>
    </xf>
    <xf numFmtId="0" fontId="3" fillId="0" borderId="0" xfId="0" applyFont="1" applyBorder="1" applyAlignment="1">
      <alignment horizontal="center" wrapText="1"/>
    </xf>
    <xf numFmtId="2" fontId="11" fillId="0" borderId="4" xfId="0" applyNumberFormat="1" applyFont="1" applyFill="1" applyBorder="1" applyAlignment="1">
      <alignment horizontal="right" vertical="center" wrapText="1"/>
    </xf>
    <xf numFmtId="0" fontId="3" fillId="0" borderId="0" xfId="0" applyFont="1" applyFill="1" applyAlignment="1">
      <alignment horizontal="center" vertical="center" wrapText="1"/>
    </xf>
    <xf numFmtId="0" fontId="3" fillId="0" borderId="12" xfId="0" applyFont="1" applyFill="1" applyBorder="1" applyAlignment="1">
      <alignment horizontal="center" vertical="center" wrapText="1"/>
    </xf>
    <xf numFmtId="0" fontId="12" fillId="0" borderId="1" xfId="0" applyFont="1" applyBorder="1" applyAlignment="1">
      <alignment horizontal="center" vertical="top"/>
    </xf>
    <xf numFmtId="2" fontId="11" fillId="0" borderId="11" xfId="0" applyNumberFormat="1" applyFont="1" applyFill="1" applyBorder="1" applyAlignment="1">
      <alignment horizontal="center" vertical="center"/>
    </xf>
    <xf numFmtId="0" fontId="12" fillId="0" borderId="0" xfId="0" applyFont="1" applyBorder="1" applyAlignment="1">
      <alignment horizontal="center" vertical="top" wrapText="1"/>
    </xf>
    <xf numFmtId="2" fontId="12" fillId="0" borderId="5" xfId="0" applyNumberFormat="1" applyFont="1" applyFill="1" applyBorder="1" applyAlignment="1">
      <alignment horizontal="center"/>
    </xf>
    <xf numFmtId="2" fontId="12" fillId="0" borderId="6" xfId="0" applyNumberFormat="1" applyFont="1" applyFill="1" applyBorder="1" applyAlignment="1">
      <alignment horizontal="center" vertical="center"/>
    </xf>
    <xf numFmtId="0" fontId="12" fillId="0" borderId="7" xfId="0" applyFont="1" applyBorder="1"/>
    <xf numFmtId="0" fontId="12" fillId="0" borderId="8" xfId="0" applyFont="1" applyBorder="1" applyAlignment="1">
      <alignment horizontal="justify" vertical="top"/>
    </xf>
    <xf numFmtId="1" fontId="12" fillId="0" borderId="7" xfId="0" applyNumberFormat="1" applyFont="1" applyFill="1" applyBorder="1" applyAlignment="1">
      <alignment horizontal="center"/>
    </xf>
    <xf numFmtId="2" fontId="12" fillId="0" borderId="6" xfId="0" applyNumberFormat="1" applyFont="1" applyFill="1" applyBorder="1" applyAlignment="1">
      <alignment horizontal="center"/>
    </xf>
    <xf numFmtId="2" fontId="11" fillId="0" borderId="5" xfId="0" applyNumberFormat="1" applyFont="1" applyFill="1" applyBorder="1" applyAlignment="1">
      <alignment horizontal="right"/>
    </xf>
    <xf numFmtId="0" fontId="12" fillId="0" borderId="0" xfId="0" applyFont="1" applyBorder="1"/>
    <xf numFmtId="0" fontId="12" fillId="0" borderId="4" xfId="0" applyFont="1" applyBorder="1" applyAlignment="1">
      <alignment vertical="top"/>
    </xf>
    <xf numFmtId="0" fontId="12" fillId="0" borderId="0" xfId="0" applyFont="1" applyBorder="1" applyAlignment="1">
      <alignment horizontal="center"/>
    </xf>
    <xf numFmtId="0" fontId="12" fillId="0" borderId="4" xfId="0" applyFont="1" applyBorder="1" applyAlignment="1">
      <alignment horizontal="center"/>
    </xf>
    <xf numFmtId="0" fontId="11" fillId="0" borderId="4" xfId="0" applyFont="1" applyBorder="1" applyAlignment="1">
      <alignment horizontal="left" vertical="top"/>
    </xf>
    <xf numFmtId="0" fontId="12" fillId="0" borderId="0" xfId="0" applyFont="1" applyBorder="1" applyAlignment="1">
      <alignment horizontal="center" vertical="top"/>
    </xf>
    <xf numFmtId="2" fontId="12" fillId="0" borderId="4" xfId="0" applyNumberFormat="1" applyFont="1" applyBorder="1" applyAlignment="1">
      <alignment horizontal="center"/>
    </xf>
    <xf numFmtId="2" fontId="12" fillId="0" borderId="0" xfId="0" applyNumberFormat="1" applyFont="1" applyBorder="1" applyAlignment="1">
      <alignment horizontal="center"/>
    </xf>
    <xf numFmtId="2" fontId="12" fillId="0" borderId="0" xfId="0" applyNumberFormat="1" applyFont="1" applyBorder="1" applyAlignment="1">
      <alignment horizontal="center" vertical="center"/>
    </xf>
    <xf numFmtId="0" fontId="11" fillId="0" borderId="0" xfId="0" applyFont="1" applyBorder="1" applyAlignment="1">
      <alignment horizontal="center" vertical="center" wrapText="1"/>
    </xf>
    <xf numFmtId="0" fontId="12" fillId="0" borderId="8" xfId="0" applyFont="1" applyBorder="1"/>
    <xf numFmtId="2" fontId="11" fillId="0" borderId="6" xfId="0" applyNumberFormat="1" applyFont="1" applyBorder="1" applyAlignment="1">
      <alignment horizontal="center" vertical="center"/>
    </xf>
    <xf numFmtId="2" fontId="11" fillId="0" borderId="4" xfId="0" applyNumberFormat="1" applyFont="1" applyBorder="1" applyAlignment="1">
      <alignment horizontal="center"/>
    </xf>
    <xf numFmtId="2" fontId="11" fillId="0" borderId="0" xfId="0" applyNumberFormat="1" applyFont="1" applyBorder="1" applyAlignment="1">
      <alignment horizontal="center" vertical="center"/>
    </xf>
    <xf numFmtId="2" fontId="12" fillId="0" borderId="4" xfId="0" applyNumberFormat="1" applyFont="1" applyBorder="1" applyAlignment="1">
      <alignment horizontal="center" vertical="center"/>
    </xf>
    <xf numFmtId="2" fontId="12" fillId="0" borderId="8" xfId="0" applyNumberFormat="1" applyFont="1" applyBorder="1" applyAlignment="1">
      <alignment horizontal="center" vertical="center"/>
    </xf>
    <xf numFmtId="2" fontId="12" fillId="0" borderId="5" xfId="0" applyNumberFormat="1" applyFont="1" applyBorder="1" applyAlignment="1">
      <alignment horizontal="center" vertical="center"/>
    </xf>
    <xf numFmtId="2" fontId="12" fillId="0" borderId="6" xfId="0" applyNumberFormat="1" applyFont="1" applyBorder="1" applyAlignment="1">
      <alignment horizontal="center" vertical="center"/>
    </xf>
    <xf numFmtId="0" fontId="12" fillId="0" borderId="4" xfId="0" applyFont="1" applyBorder="1"/>
    <xf numFmtId="2" fontId="11" fillId="0" borderId="0" xfId="0" applyNumberFormat="1" applyFont="1" applyBorder="1" applyAlignment="1">
      <alignment horizontal="center"/>
    </xf>
    <xf numFmtId="0" fontId="11" fillId="0" borderId="4" xfId="0" applyFont="1" applyBorder="1" applyAlignment="1">
      <alignment horizontal="justify" vertical="top"/>
    </xf>
    <xf numFmtId="164" fontId="12" fillId="0" borderId="4" xfId="0" applyNumberFormat="1" applyFont="1" applyFill="1" applyBorder="1" applyAlignment="1">
      <alignment horizontal="center"/>
    </xf>
    <xf numFmtId="2" fontId="11" fillId="0" borderId="0" xfId="0" applyNumberFormat="1" applyFont="1" applyFill="1" applyBorder="1" applyAlignment="1">
      <alignment horizontal="center"/>
    </xf>
    <xf numFmtId="0" fontId="11" fillId="0" borderId="4" xfId="0" applyFont="1" applyBorder="1"/>
    <xf numFmtId="0" fontId="12" fillId="0" borderId="5" xfId="0" applyFont="1" applyBorder="1" applyAlignment="1">
      <alignment horizontal="justify" vertical="top"/>
    </xf>
    <xf numFmtId="2" fontId="12" fillId="0" borderId="7" xfId="0" applyNumberFormat="1" applyFont="1" applyFill="1" applyBorder="1" applyAlignment="1">
      <alignment horizontal="center"/>
    </xf>
    <xf numFmtId="0" fontId="12" fillId="0" borderId="5" xfId="0" applyFont="1" applyBorder="1"/>
    <xf numFmtId="2" fontId="11" fillId="0" borderId="7" xfId="0" applyNumberFormat="1" applyFont="1" applyFill="1" applyBorder="1" applyAlignment="1">
      <alignment horizontal="center"/>
    </xf>
    <xf numFmtId="0" fontId="12" fillId="0" borderId="5" xfId="0" applyFont="1" applyBorder="1" applyAlignment="1">
      <alignment vertical="top"/>
    </xf>
    <xf numFmtId="2" fontId="11" fillId="0" borderId="5" xfId="0" applyNumberFormat="1" applyFont="1" applyFill="1" applyBorder="1" applyAlignment="1">
      <alignment horizontal="center"/>
    </xf>
    <xf numFmtId="0" fontId="12" fillId="0" borderId="0" xfId="0" applyFont="1" applyAlignment="1">
      <alignment vertical="center"/>
    </xf>
    <xf numFmtId="0" fontId="12" fillId="0" borderId="12" xfId="0" applyFont="1" applyBorder="1" applyAlignment="1">
      <alignment horizontal="left"/>
    </xf>
    <xf numFmtId="0" fontId="12" fillId="0" borderId="5" xfId="0" applyFont="1" applyBorder="1" applyAlignment="1">
      <alignment vertical="center"/>
    </xf>
    <xf numFmtId="1" fontId="12" fillId="0" borderId="7" xfId="0" applyNumberFormat="1" applyFont="1" applyFill="1" applyBorder="1" applyAlignment="1">
      <alignment horizontal="left" wrapText="1"/>
    </xf>
    <xf numFmtId="0" fontId="12" fillId="0" borderId="5" xfId="0" applyFont="1" applyBorder="1" applyAlignment="1">
      <alignment horizontal="left" wrapText="1"/>
    </xf>
    <xf numFmtId="0" fontId="12" fillId="0" borderId="7" xfId="0" applyFont="1" applyBorder="1" applyAlignment="1">
      <alignment horizontal="left" wrapText="1"/>
    </xf>
    <xf numFmtId="0" fontId="11" fillId="0" borderId="4" xfId="0" applyFont="1" applyFill="1" applyBorder="1" applyAlignment="1">
      <alignment horizontal="justify" vertical="top" wrapText="1"/>
    </xf>
    <xf numFmtId="2" fontId="12" fillId="0" borderId="0" xfId="0" applyNumberFormat="1" applyFont="1" applyFill="1" applyBorder="1" applyAlignment="1">
      <alignment horizontal="center" vertical="center" wrapText="1"/>
    </xf>
    <xf numFmtId="0" fontId="12" fillId="0" borderId="0" xfId="0" applyFont="1" applyBorder="1" applyAlignment="1">
      <alignment horizontal="justify" vertical="top"/>
    </xf>
    <xf numFmtId="0" fontId="3" fillId="0" borderId="0" xfId="0" applyFont="1" applyBorder="1" applyAlignment="1">
      <alignment horizontal="justify" vertical="top" wrapText="1"/>
    </xf>
    <xf numFmtId="2" fontId="3" fillId="0" borderId="0" xfId="0" applyNumberFormat="1" applyFont="1" applyBorder="1" applyAlignment="1">
      <alignment horizontal="center" vertical="center"/>
    </xf>
    <xf numFmtId="0" fontId="6" fillId="0" borderId="0" xfId="0" applyFont="1" applyAlignment="1">
      <alignment horizontal="left"/>
    </xf>
    <xf numFmtId="2" fontId="6" fillId="0" borderId="0" xfId="0" applyNumberFormat="1" applyFont="1" applyAlignment="1">
      <alignment horizontal="left"/>
    </xf>
    <xf numFmtId="0" fontId="12" fillId="0" borderId="4" xfId="0" applyNumberFormat="1" applyFont="1" applyFill="1" applyBorder="1" applyAlignment="1">
      <alignment horizontal="left" vertical="top" wrapText="1"/>
    </xf>
    <xf numFmtId="0" fontId="12" fillId="0" borderId="4" xfId="0" applyNumberFormat="1" applyFont="1" applyFill="1" applyBorder="1" applyAlignment="1">
      <alignment horizontal="left" vertical="top"/>
    </xf>
    <xf numFmtId="0" fontId="3" fillId="0" borderId="12" xfId="0" applyFont="1" applyFill="1" applyBorder="1" applyAlignment="1">
      <alignment horizontal="left"/>
    </xf>
    <xf numFmtId="0" fontId="3" fillId="0" borderId="12" xfId="0" applyFont="1" applyBorder="1"/>
    <xf numFmtId="0" fontId="12" fillId="0" borderId="8" xfId="0" applyFont="1" applyFill="1" applyBorder="1" applyAlignment="1">
      <alignment horizontal="center" vertical="top" wrapText="1"/>
    </xf>
    <xf numFmtId="0" fontId="11" fillId="0" borderId="8" xfId="0" applyNumberFormat="1" applyFont="1" applyFill="1" applyBorder="1" applyAlignment="1">
      <alignment horizontal="right" vertical="top" wrapText="1"/>
    </xf>
    <xf numFmtId="2" fontId="12" fillId="0" borderId="6" xfId="0" applyNumberFormat="1" applyFont="1" applyFill="1" applyBorder="1" applyAlignment="1">
      <alignment horizontal="left"/>
    </xf>
    <xf numFmtId="0" fontId="11" fillId="0" borderId="13" xfId="0" applyNumberFormat="1" applyFont="1" applyFill="1" applyBorder="1" applyAlignment="1">
      <alignment horizontal="right" vertical="top" wrapText="1"/>
    </xf>
    <xf numFmtId="2" fontId="11" fillId="0" borderId="16" xfId="0" applyNumberFormat="1" applyFont="1" applyFill="1" applyBorder="1" applyAlignment="1">
      <alignment horizontal="right"/>
    </xf>
    <xf numFmtId="2" fontId="11" fillId="0" borderId="13" xfId="0" applyNumberFormat="1" applyFont="1" applyFill="1" applyBorder="1" applyAlignment="1">
      <alignment horizontal="right"/>
    </xf>
    <xf numFmtId="2" fontId="12" fillId="0" borderId="12" xfId="0" applyNumberFormat="1" applyFont="1" applyFill="1" applyBorder="1" applyAlignment="1">
      <alignment horizontal="center" vertical="center" wrapText="1"/>
    </xf>
    <xf numFmtId="0" fontId="12" fillId="0" borderId="4" xfId="0" applyFont="1" applyFill="1" applyBorder="1" applyAlignment="1">
      <alignment horizontal="center" vertical="top" wrapText="1"/>
    </xf>
    <xf numFmtId="0" fontId="3" fillId="0" borderId="4" xfId="0" applyFont="1" applyBorder="1"/>
    <xf numFmtId="2" fontId="11" fillId="0" borderId="6" xfId="0" applyNumberFormat="1" applyFont="1" applyFill="1" applyBorder="1" applyAlignment="1">
      <alignment horizontal="center" vertical="center"/>
    </xf>
    <xf numFmtId="2" fontId="11" fillId="0" borderId="6" xfId="0" applyNumberFormat="1" applyFont="1" applyFill="1" applyBorder="1" applyAlignment="1">
      <alignment horizontal="left"/>
    </xf>
    <xf numFmtId="0" fontId="12" fillId="0" borderId="5" xfId="0" applyNumberFormat="1" applyFont="1" applyFill="1" applyBorder="1" applyAlignment="1">
      <alignment horizontal="right" vertical="top" wrapText="1"/>
    </xf>
    <xf numFmtId="0" fontId="11" fillId="0" borderId="6" xfId="0" applyFont="1" applyBorder="1" applyAlignment="1">
      <alignment horizontal="center" vertical="center" wrapText="1"/>
    </xf>
    <xf numFmtId="0" fontId="11" fillId="0" borderId="1" xfId="0" applyFont="1" applyBorder="1" applyAlignment="1">
      <alignment horizontal="center" vertical="center" wrapText="1"/>
    </xf>
    <xf numFmtId="2" fontId="11" fillId="0" borderId="1" xfId="0" applyNumberFormat="1" applyFont="1" applyFill="1" applyBorder="1" applyAlignment="1">
      <alignment horizontal="right"/>
    </xf>
    <xf numFmtId="2" fontId="11" fillId="0" borderId="13" xfId="0" applyNumberFormat="1" applyFont="1" applyFill="1" applyBorder="1" applyAlignment="1">
      <alignment horizontal="right" vertical="center" wrapText="1"/>
    </xf>
    <xf numFmtId="0" fontId="3" fillId="0" borderId="4" xfId="0" applyFont="1" applyBorder="1" applyAlignment="1">
      <alignment horizontal="right" vertical="center" wrapText="1"/>
    </xf>
    <xf numFmtId="0" fontId="12" fillId="0" borderId="4" xfId="0" applyFont="1" applyBorder="1" applyAlignment="1">
      <alignment vertical="top" wrapText="1"/>
    </xf>
    <xf numFmtId="0" fontId="11" fillId="0" borderId="5" xfId="0" applyNumberFormat="1" applyFont="1" applyFill="1" applyBorder="1" applyAlignment="1">
      <alignment horizontal="right" vertical="top" wrapText="1"/>
    </xf>
    <xf numFmtId="0" fontId="11" fillId="0" borderId="7" xfId="0" applyNumberFormat="1" applyFont="1" applyFill="1" applyBorder="1" applyAlignment="1">
      <alignment horizontal="right" vertical="top" wrapText="1"/>
    </xf>
    <xf numFmtId="0" fontId="11" fillId="0" borderId="5" xfId="0" applyNumberFormat="1" applyFont="1" applyFill="1" applyBorder="1" applyAlignment="1">
      <alignment vertical="top" wrapText="1"/>
    </xf>
    <xf numFmtId="0" fontId="3" fillId="0" borderId="4" xfId="0" applyFont="1" applyFill="1" applyBorder="1" applyAlignment="1">
      <alignment horizontal="left"/>
    </xf>
    <xf numFmtId="0" fontId="11" fillId="0" borderId="5" xfId="0" applyFont="1" applyBorder="1" applyAlignment="1">
      <alignment horizontal="justify" vertical="top" wrapText="1"/>
    </xf>
    <xf numFmtId="0" fontId="3" fillId="0" borderId="7" xfId="0" applyFont="1" applyBorder="1" applyAlignment="1">
      <alignment horizontal="center" vertical="center" wrapText="1"/>
    </xf>
    <xf numFmtId="2" fontId="12" fillId="0" borderId="6" xfId="0" applyNumberFormat="1" applyFont="1" applyFill="1" applyBorder="1" applyAlignment="1">
      <alignment horizontal="left" vertical="center"/>
    </xf>
    <xf numFmtId="0" fontId="12" fillId="0" borderId="6" xfId="0" applyFont="1" applyFill="1" applyBorder="1" applyAlignment="1">
      <alignment horizontal="center" vertical="center" wrapText="1"/>
    </xf>
    <xf numFmtId="1" fontId="12" fillId="0" borderId="4" xfId="0" applyNumberFormat="1" applyFont="1" applyFill="1" applyBorder="1" applyAlignment="1">
      <alignment horizontal="center" vertical="center" wrapText="1"/>
    </xf>
    <xf numFmtId="1" fontId="12" fillId="0" borderId="5" xfId="0" applyNumberFormat="1" applyFont="1" applyFill="1" applyBorder="1" applyAlignment="1">
      <alignment horizontal="center" vertical="center" wrapText="1"/>
    </xf>
    <xf numFmtId="0" fontId="3" fillId="0" borderId="5" xfId="0" applyFont="1" applyBorder="1" applyAlignment="1">
      <alignment horizontal="center" vertical="center" wrapText="1"/>
    </xf>
    <xf numFmtId="0" fontId="12" fillId="0" borderId="1" xfId="0" applyNumberFormat="1" applyFont="1" applyFill="1" applyBorder="1" applyAlignment="1">
      <alignment horizontal="justify" vertical="top" wrapText="1"/>
    </xf>
    <xf numFmtId="0" fontId="12" fillId="0" borderId="12" xfId="0" applyFont="1" applyBorder="1" applyAlignment="1">
      <alignment horizontal="center" vertical="center"/>
    </xf>
    <xf numFmtId="2" fontId="11" fillId="0" borderId="3" xfId="0" applyNumberFormat="1" applyFont="1" applyFill="1" applyBorder="1" applyAlignment="1">
      <alignment horizontal="left" vertical="center"/>
    </xf>
    <xf numFmtId="2" fontId="12" fillId="0" borderId="3" xfId="0" applyNumberFormat="1" applyFont="1" applyFill="1" applyBorder="1" applyAlignment="1">
      <alignment horizontal="left" vertical="center"/>
    </xf>
    <xf numFmtId="0" fontId="11" fillId="0" borderId="3" xfId="0" applyFont="1" applyBorder="1" applyAlignment="1">
      <alignment horizontal="center" vertical="center" wrapText="1"/>
    </xf>
    <xf numFmtId="0" fontId="11" fillId="0" borderId="5" xfId="0" applyFont="1" applyBorder="1" applyAlignment="1">
      <alignment horizontal="center" vertical="center" wrapText="1"/>
    </xf>
    <xf numFmtId="0" fontId="11" fillId="0" borderId="5" xfId="0" applyNumberFormat="1" applyFont="1" applyFill="1" applyBorder="1" applyAlignment="1">
      <alignment horizontal="justify" vertical="top" wrapText="1"/>
    </xf>
    <xf numFmtId="2" fontId="12" fillId="0" borderId="3" xfId="0" applyNumberFormat="1" applyFont="1" applyFill="1" applyBorder="1" applyAlignment="1">
      <alignment horizontal="center" vertical="center"/>
    </xf>
    <xf numFmtId="0" fontId="12" fillId="0" borderId="5" xfId="0" applyFont="1" applyBorder="1" applyAlignment="1">
      <alignment horizontal="center" vertical="top"/>
    </xf>
    <xf numFmtId="2" fontId="3" fillId="0" borderId="8" xfId="0" applyNumberFormat="1" applyFont="1" applyFill="1" applyBorder="1" applyAlignment="1">
      <alignment horizontal="center" vertical="center" wrapText="1"/>
    </xf>
    <xf numFmtId="0" fontId="3" fillId="0" borderId="7" xfId="0" applyFont="1" applyFill="1" applyBorder="1" applyAlignment="1">
      <alignment horizontal="center" vertical="center" wrapText="1"/>
    </xf>
    <xf numFmtId="0" fontId="3" fillId="0" borderId="6" xfId="0" applyFont="1" applyFill="1" applyBorder="1" applyAlignment="1">
      <alignment horizontal="center" vertical="center" wrapText="1"/>
    </xf>
    <xf numFmtId="0" fontId="12" fillId="0" borderId="6" xfId="0" applyNumberFormat="1" applyFont="1" applyFill="1" applyBorder="1" applyAlignment="1">
      <alignment horizontal="justify" vertical="top" wrapText="1"/>
    </xf>
    <xf numFmtId="0" fontId="12" fillId="0" borderId="5" xfId="0" applyFont="1" applyBorder="1" applyAlignment="1">
      <alignment horizontal="right" vertical="top" wrapText="1"/>
    </xf>
    <xf numFmtId="2" fontId="12" fillId="0" borderId="8" xfId="0" applyNumberFormat="1" applyFont="1" applyBorder="1" applyAlignment="1">
      <alignment horizontal="center"/>
    </xf>
    <xf numFmtId="2" fontId="12" fillId="0" borderId="5" xfId="0" applyNumberFormat="1" applyFont="1" applyBorder="1" applyAlignment="1">
      <alignment horizontal="center"/>
    </xf>
    <xf numFmtId="2" fontId="12" fillId="0" borderId="2" xfId="0" applyNumberFormat="1" applyFont="1" applyBorder="1" applyAlignment="1">
      <alignment horizontal="center"/>
    </xf>
    <xf numFmtId="2" fontId="11" fillId="0" borderId="1" xfId="0" applyNumberFormat="1" applyFont="1" applyBorder="1" applyAlignment="1">
      <alignment horizontal="center"/>
    </xf>
    <xf numFmtId="0" fontId="12" fillId="0" borderId="12" xfId="0" applyFont="1" applyBorder="1" applyAlignment="1">
      <alignment horizontal="justify" vertical="top"/>
    </xf>
    <xf numFmtId="0" fontId="12" fillId="0" borderId="12" xfId="0" applyFont="1" applyBorder="1" applyAlignment="1">
      <alignment vertical="top"/>
    </xf>
    <xf numFmtId="2" fontId="11" fillId="0" borderId="5" xfId="0" applyNumberFormat="1" applyFont="1" applyFill="1" applyBorder="1" applyAlignment="1">
      <alignment horizontal="left"/>
    </xf>
    <xf numFmtId="0" fontId="12" fillId="0" borderId="0" xfId="0" applyFont="1" applyBorder="1" applyAlignment="1">
      <alignment horizontal="left" wrapText="1"/>
    </xf>
    <xf numFmtId="0" fontId="12" fillId="0" borderId="13" xfId="0" applyFont="1" applyBorder="1" applyAlignment="1">
      <alignment horizontal="center" vertical="center"/>
    </xf>
    <xf numFmtId="0" fontId="12" fillId="0" borderId="13" xfId="0" applyFont="1" applyFill="1" applyBorder="1" applyAlignment="1">
      <alignment vertical="top" wrapText="1"/>
    </xf>
    <xf numFmtId="0" fontId="12" fillId="0" borderId="13" xfId="0" applyFont="1" applyFill="1" applyBorder="1" applyAlignment="1">
      <alignment horizontal="justify" vertical="top" wrapText="1"/>
    </xf>
    <xf numFmtId="0" fontId="12" fillId="0" borderId="16" xfId="0" applyFont="1" applyBorder="1" applyAlignment="1">
      <alignment horizontal="left" wrapText="1"/>
    </xf>
    <xf numFmtId="2" fontId="11" fillId="0" borderId="13" xfId="0" applyNumberFormat="1" applyFont="1" applyFill="1" applyBorder="1" applyAlignment="1">
      <alignment horizontal="center"/>
    </xf>
    <xf numFmtId="2" fontId="11" fillId="0" borderId="13" xfId="0" applyNumberFormat="1" applyFont="1" applyFill="1" applyBorder="1" applyAlignment="1">
      <alignment horizontal="left"/>
    </xf>
    <xf numFmtId="0" fontId="0" fillId="0" borderId="7" xfId="0" applyBorder="1" applyAlignment="1">
      <alignment vertical="center"/>
    </xf>
    <xf numFmtId="0" fontId="1" fillId="0" borderId="7" xfId="0" applyFont="1" applyBorder="1" applyAlignment="1">
      <alignment horizontal="center" vertical="center"/>
    </xf>
    <xf numFmtId="0" fontId="1" fillId="0" borderId="7" xfId="0" applyFont="1" applyBorder="1" applyAlignment="1">
      <alignment horizontal="left"/>
    </xf>
    <xf numFmtId="2" fontId="30" fillId="0" borderId="0" xfId="3" applyNumberFormat="1" applyFont="1" applyAlignment="1">
      <alignment horizontal="center" vertical="center"/>
    </xf>
    <xf numFmtId="2" fontId="6" fillId="0" borderId="7" xfId="0" applyNumberFormat="1" applyFont="1" applyBorder="1" applyAlignment="1">
      <alignment horizontal="left"/>
    </xf>
    <xf numFmtId="0" fontId="6" fillId="0" borderId="7" xfId="0" applyFont="1" applyBorder="1" applyAlignment="1">
      <alignment horizontal="left"/>
    </xf>
    <xf numFmtId="0" fontId="1" fillId="0" borderId="6" xfId="0" applyFont="1" applyBorder="1" applyAlignment="1">
      <alignment horizontal="left"/>
    </xf>
    <xf numFmtId="0" fontId="0" fillId="0" borderId="5" xfId="0" applyBorder="1"/>
    <xf numFmtId="0" fontId="0" fillId="0" borderId="1" xfId="0" applyBorder="1" applyAlignment="1">
      <alignment vertical="center"/>
    </xf>
    <xf numFmtId="0" fontId="1" fillId="0" borderId="1" xfId="0" applyFont="1" applyBorder="1" applyAlignment="1">
      <alignment horizontal="center" vertical="center"/>
    </xf>
    <xf numFmtId="0" fontId="1" fillId="0" borderId="1" xfId="0" applyFont="1" applyBorder="1" applyAlignment="1">
      <alignment horizontal="left"/>
    </xf>
    <xf numFmtId="2" fontId="11" fillId="0" borderId="8" xfId="0" applyNumberFormat="1" applyFont="1" applyFill="1" applyBorder="1" applyAlignment="1">
      <alignment horizontal="center" vertical="center"/>
    </xf>
    <xf numFmtId="2" fontId="11" fillId="0" borderId="1" xfId="0" applyNumberFormat="1" applyFont="1" applyFill="1" applyBorder="1" applyAlignment="1">
      <alignment vertical="center"/>
    </xf>
    <xf numFmtId="2" fontId="11" fillId="0" borderId="12" xfId="0" applyNumberFormat="1" applyFont="1" applyFill="1" applyBorder="1" applyAlignment="1">
      <alignment horizontal="center"/>
    </xf>
    <xf numFmtId="2" fontId="6" fillId="0" borderId="1" xfId="0" applyNumberFormat="1" applyFont="1" applyBorder="1" applyAlignment="1">
      <alignment horizontal="left"/>
    </xf>
    <xf numFmtId="2" fontId="6" fillId="0" borderId="5" xfId="0" applyNumberFormat="1" applyFont="1" applyBorder="1" applyAlignment="1">
      <alignment horizontal="left"/>
    </xf>
    <xf numFmtId="0" fontId="37" fillId="0" borderId="17" xfId="0" applyFont="1" applyBorder="1" applyAlignment="1">
      <alignment horizontal="justify" vertical="center" wrapText="1"/>
    </xf>
    <xf numFmtId="0" fontId="12" fillId="0" borderId="4" xfId="0" applyFont="1" applyFill="1" applyBorder="1" applyAlignment="1">
      <alignment horizontal="center" vertical="top" wrapText="1"/>
    </xf>
    <xf numFmtId="2" fontId="11" fillId="0" borderId="0" xfId="0" applyNumberFormat="1" applyFont="1" applyFill="1" applyBorder="1" applyAlignment="1">
      <alignment horizontal="center" vertical="center"/>
    </xf>
    <xf numFmtId="0" fontId="0" fillId="0" borderId="0" xfId="0" applyAlignment="1"/>
    <xf numFmtId="0" fontId="12" fillId="0" borderId="4" xfId="0" applyFont="1" applyBorder="1" applyAlignment="1">
      <alignment horizontal="center" vertical="top"/>
    </xf>
    <xf numFmtId="2" fontId="11" fillId="0" borderId="0" xfId="0" applyNumberFormat="1" applyFont="1" applyFill="1" applyBorder="1" applyAlignment="1">
      <alignment horizontal="center" vertical="center"/>
    </xf>
    <xf numFmtId="0" fontId="3" fillId="0" borderId="0" xfId="0" applyFont="1" applyFill="1" applyBorder="1" applyAlignment="1">
      <alignment horizontal="center" vertical="center" wrapText="1"/>
    </xf>
    <xf numFmtId="0" fontId="2" fillId="0" borderId="0" xfId="0" applyFont="1" applyAlignment="1">
      <alignment horizontal="center" wrapText="1"/>
    </xf>
    <xf numFmtId="1" fontId="12" fillId="0" borderId="0" xfId="0" applyNumberFormat="1" applyFont="1" applyFill="1" applyBorder="1" applyAlignment="1">
      <alignment horizontal="center" vertical="center" wrapText="1"/>
    </xf>
    <xf numFmtId="0" fontId="0" fillId="0" borderId="0" xfId="0" applyAlignment="1"/>
    <xf numFmtId="0" fontId="12" fillId="0" borderId="4" xfId="0" applyFont="1" applyBorder="1" applyAlignment="1">
      <alignment horizontal="center" vertical="top"/>
    </xf>
    <xf numFmtId="2" fontId="11" fillId="0" borderId="0" xfId="0" applyNumberFormat="1" applyFont="1" applyFill="1" applyBorder="1" applyAlignment="1">
      <alignment horizontal="center" vertical="center"/>
    </xf>
    <xf numFmtId="2" fontId="11" fillId="0" borderId="12" xfId="0" applyNumberFormat="1" applyFont="1" applyFill="1" applyBorder="1" applyAlignment="1">
      <alignment horizontal="right"/>
    </xf>
    <xf numFmtId="0" fontId="2" fillId="0" borderId="0" xfId="0" applyFont="1" applyAlignment="1">
      <alignment horizontal="center" wrapText="1"/>
    </xf>
    <xf numFmtId="0" fontId="12" fillId="3" borderId="4" xfId="0" applyNumberFormat="1" applyFont="1" applyFill="1" applyBorder="1" applyAlignment="1">
      <alignment horizontal="justify" vertical="top" wrapText="1"/>
    </xf>
    <xf numFmtId="0" fontId="12" fillId="3" borderId="4" xfId="0" applyFont="1" applyFill="1" applyBorder="1" applyAlignment="1">
      <alignment horizontal="justify" vertical="top" wrapText="1"/>
    </xf>
    <xf numFmtId="0" fontId="5" fillId="0" borderId="0" xfId="0" applyFont="1" applyAlignment="1"/>
    <xf numFmtId="2" fontId="12" fillId="0" borderId="12" xfId="0" applyNumberFormat="1" applyFont="1" applyFill="1" applyBorder="1" applyAlignment="1"/>
    <xf numFmtId="2" fontId="11" fillId="0" borderId="0" xfId="0" applyNumberFormat="1" applyFont="1" applyFill="1" applyBorder="1" applyAlignment="1"/>
    <xf numFmtId="2" fontId="11" fillId="0" borderId="4" xfId="0" applyNumberFormat="1" applyFont="1" applyFill="1" applyBorder="1" applyAlignment="1"/>
    <xf numFmtId="0" fontId="12" fillId="0" borderId="1" xfId="0" applyFont="1" applyFill="1" applyBorder="1" applyAlignment="1">
      <alignment horizontal="center" vertical="top" wrapText="1"/>
    </xf>
    <xf numFmtId="0" fontId="12" fillId="0" borderId="1" xfId="0" applyFont="1" applyFill="1" applyBorder="1" applyAlignment="1">
      <alignment horizontal="center" vertical="center"/>
    </xf>
    <xf numFmtId="0" fontId="11" fillId="0" borderId="1" xfId="0" applyNumberFormat="1" applyFont="1" applyFill="1" applyBorder="1" applyAlignment="1">
      <alignment wrapText="1"/>
    </xf>
    <xf numFmtId="2" fontId="11" fillId="0" borderId="1" xfId="0" applyNumberFormat="1" applyFont="1" applyFill="1" applyBorder="1" applyAlignment="1"/>
    <xf numFmtId="0" fontId="2" fillId="0" borderId="0" xfId="0" applyFont="1" applyAlignment="1">
      <alignment vertical="top"/>
    </xf>
    <xf numFmtId="0" fontId="1" fillId="0" borderId="0" xfId="0" applyFont="1" applyAlignment="1">
      <alignment vertical="top"/>
    </xf>
    <xf numFmtId="0" fontId="1" fillId="0" borderId="0" xfId="0" applyFont="1" applyAlignment="1">
      <alignment horizontal="right" vertical="top"/>
    </xf>
    <xf numFmtId="2" fontId="2" fillId="0" borderId="0" xfId="0" applyNumberFormat="1" applyFont="1" applyAlignment="1">
      <alignment vertical="center"/>
    </xf>
    <xf numFmtId="2" fontId="2" fillId="0" borderId="0" xfId="0" applyNumberFormat="1" applyFont="1"/>
    <xf numFmtId="0" fontId="2" fillId="0" borderId="0" xfId="0" applyFont="1" applyAlignment="1">
      <alignment horizontal="left" vertical="center"/>
    </xf>
    <xf numFmtId="0" fontId="2" fillId="0" borderId="7" xfId="0" applyFont="1" applyBorder="1"/>
    <xf numFmtId="0" fontId="1" fillId="0" borderId="7" xfId="0" applyFont="1" applyBorder="1" applyAlignment="1">
      <alignment vertical="top"/>
    </xf>
    <xf numFmtId="0" fontId="39" fillId="0" borderId="0" xfId="0" applyFont="1" applyAlignment="1">
      <alignment horizontal="center"/>
    </xf>
    <xf numFmtId="0" fontId="1" fillId="0" borderId="0" xfId="0" applyFont="1" applyAlignment="1">
      <alignment horizontal="right" vertical="center"/>
    </xf>
    <xf numFmtId="2" fontId="1" fillId="0" borderId="0" xfId="0" applyNumberFormat="1" applyFont="1" applyAlignment="1">
      <alignment horizontal="right" vertical="center"/>
    </xf>
    <xf numFmtId="0" fontId="1" fillId="0" borderId="0" xfId="0" applyFont="1" applyAlignment="1">
      <alignment horizontal="left" vertical="center"/>
    </xf>
    <xf numFmtId="0" fontId="2" fillId="0" borderId="0" xfId="0" applyFont="1" applyAlignment="1">
      <alignment horizontal="right" vertical="center"/>
    </xf>
    <xf numFmtId="2" fontId="1" fillId="0" borderId="15" xfId="0" applyNumberFormat="1" applyFont="1" applyBorder="1" applyAlignment="1">
      <alignment horizontal="right" vertical="center"/>
    </xf>
    <xf numFmtId="2" fontId="2" fillId="0" borderId="15" xfId="0" applyNumberFormat="1" applyFont="1" applyBorder="1" applyAlignment="1">
      <alignment horizontal="right" vertical="center"/>
    </xf>
    <xf numFmtId="0" fontId="2" fillId="0" borderId="0" xfId="0" applyFont="1" applyAlignment="1">
      <alignment horizontal="center" vertical="center"/>
    </xf>
    <xf numFmtId="2" fontId="40" fillId="0" borderId="0" xfId="2" applyNumberFormat="1" applyFont="1" applyBorder="1" applyAlignment="1">
      <alignment horizontal="left" vertical="center"/>
    </xf>
    <xf numFmtId="0" fontId="40" fillId="0" borderId="0" xfId="0" applyFont="1" applyBorder="1"/>
    <xf numFmtId="2" fontId="4" fillId="0" borderId="0" xfId="0" applyNumberFormat="1" applyFont="1" applyAlignment="1">
      <alignment horizontal="center"/>
    </xf>
    <xf numFmtId="0" fontId="42" fillId="0" borderId="20" xfId="0" applyFont="1" applyBorder="1"/>
    <xf numFmtId="0" fontId="42" fillId="0" borderId="21" xfId="0" applyFont="1" applyBorder="1"/>
    <xf numFmtId="0" fontId="42" fillId="0" borderId="0" xfId="0" applyFont="1" applyBorder="1"/>
    <xf numFmtId="0" fontId="44" fillId="0" borderId="0" xfId="0" applyNumberFormat="1" applyFont="1" applyBorder="1" applyAlignment="1">
      <alignment horizontal="center" vertical="top"/>
    </xf>
    <xf numFmtId="0" fontId="44" fillId="0" borderId="0" xfId="0" applyNumberFormat="1" applyFont="1" applyBorder="1" applyAlignment="1">
      <alignment horizontal="center" vertical="center"/>
    </xf>
    <xf numFmtId="0" fontId="41" fillId="4" borderId="1" xfId="0" applyFont="1" applyFill="1" applyBorder="1" applyAlignment="1">
      <alignment horizontal="center" vertical="center" wrapText="1"/>
    </xf>
    <xf numFmtId="49" fontId="42" fillId="3" borderId="21" xfId="0" applyNumberFormat="1" applyFont="1" applyFill="1" applyBorder="1" applyAlignment="1">
      <alignment horizontal="center" vertical="top"/>
    </xf>
    <xf numFmtId="0" fontId="8" fillId="0" borderId="21" xfId="0" applyFont="1" applyBorder="1" applyAlignment="1">
      <alignment horizontal="left" vertical="top" wrapText="1"/>
    </xf>
    <xf numFmtId="2" fontId="8" fillId="0" borderId="21" xfId="0" applyNumberFormat="1" applyFont="1" applyBorder="1" applyAlignment="1">
      <alignment horizontal="center" vertical="center"/>
    </xf>
    <xf numFmtId="2" fontId="8" fillId="0" borderId="21" xfId="0" applyNumberFormat="1" applyFont="1" applyBorder="1" applyAlignment="1">
      <alignment horizontal="right" vertical="center"/>
    </xf>
    <xf numFmtId="2" fontId="8" fillId="0" borderId="21" xfId="0" applyNumberFormat="1" applyFont="1" applyFill="1" applyBorder="1" applyAlignment="1">
      <alignment horizontal="right" vertical="center" wrapText="1"/>
    </xf>
    <xf numFmtId="0" fontId="42" fillId="3" borderId="21" xfId="0" applyNumberFormat="1" applyFont="1" applyFill="1" applyBorder="1" applyAlignment="1">
      <alignment horizontal="center" vertical="top"/>
    </xf>
    <xf numFmtId="0" fontId="8" fillId="0" borderId="21" xfId="0" applyFont="1" applyBorder="1" applyAlignment="1">
      <alignment horizontal="left" vertical="top"/>
    </xf>
    <xf numFmtId="2" fontId="8" fillId="3" borderId="21" xfId="0" applyNumberFormat="1" applyFont="1" applyFill="1" applyBorder="1" applyAlignment="1">
      <alignment horizontal="center" vertical="center" wrapText="1"/>
    </xf>
    <xf numFmtId="0" fontId="8" fillId="0" borderId="0" xfId="0" applyFont="1" applyAlignment="1">
      <alignment wrapText="1"/>
    </xf>
    <xf numFmtId="0" fontId="45" fillId="0" borderId="21" xfId="0" applyFont="1" applyBorder="1" applyAlignment="1">
      <alignment horizontal="right" vertical="top" wrapText="1"/>
    </xf>
    <xf numFmtId="0" fontId="0" fillId="0" borderId="21" xfId="0" applyBorder="1" applyAlignment="1">
      <alignment horizontal="center" vertical="top"/>
    </xf>
    <xf numFmtId="0" fontId="8" fillId="0" borderId="21" xfId="0" applyFont="1" applyBorder="1"/>
    <xf numFmtId="0" fontId="45" fillId="0" borderId="21" xfId="0" applyFont="1" applyBorder="1" applyAlignment="1">
      <alignment horizontal="right"/>
    </xf>
    <xf numFmtId="2" fontId="45" fillId="0" borderId="21" xfId="0" applyNumberFormat="1" applyFont="1" applyBorder="1"/>
    <xf numFmtId="2" fontId="45" fillId="0" borderId="21" xfId="0" applyNumberFormat="1" applyFont="1" applyBorder="1" applyAlignment="1">
      <alignment horizontal="right"/>
    </xf>
    <xf numFmtId="0" fontId="0" fillId="0" borderId="0" xfId="0" applyAlignment="1">
      <alignment horizontal="center" vertical="top"/>
    </xf>
    <xf numFmtId="0" fontId="0" fillId="0" borderId="21" xfId="0" applyBorder="1"/>
    <xf numFmtId="0" fontId="12" fillId="0" borderId="21" xfId="0" applyFont="1" applyBorder="1"/>
    <xf numFmtId="0" fontId="1" fillId="0" borderId="21" xfId="0" applyFont="1" applyBorder="1"/>
    <xf numFmtId="0" fontId="12" fillId="0" borderId="21" xfId="0" applyNumberFormat="1" applyFont="1" applyFill="1" applyBorder="1" applyAlignment="1">
      <alignment horizontal="justify" vertical="top" wrapText="1"/>
    </xf>
    <xf numFmtId="1" fontId="12" fillId="0" borderId="21" xfId="0" applyNumberFormat="1" applyFont="1" applyFill="1" applyBorder="1" applyAlignment="1">
      <alignment horizontal="center"/>
    </xf>
    <xf numFmtId="2" fontId="12" fillId="0" borderId="21" xfId="0" applyNumberFormat="1" applyFont="1" applyFill="1" applyBorder="1" applyAlignment="1">
      <alignment horizontal="center"/>
    </xf>
    <xf numFmtId="2" fontId="12" fillId="0" borderId="21" xfId="0" applyNumberFormat="1" applyFont="1" applyFill="1" applyBorder="1" applyAlignment="1">
      <alignment horizontal="right" vertical="center" wrapText="1"/>
    </xf>
    <xf numFmtId="0" fontId="12" fillId="0" borderId="21" xfId="0" applyFont="1" applyBorder="1" applyAlignment="1">
      <alignment horizontal="right" vertical="center" wrapText="1"/>
    </xf>
    <xf numFmtId="2" fontId="12" fillId="0" borderId="21" xfId="0" applyNumberFormat="1" applyFont="1" applyFill="1" applyBorder="1" applyAlignment="1">
      <alignment horizontal="center" vertical="center"/>
    </xf>
    <xf numFmtId="2" fontId="12" fillId="0" borderId="21" xfId="0" applyNumberFormat="1" applyFont="1" applyFill="1" applyBorder="1" applyAlignment="1">
      <alignment horizontal="left"/>
    </xf>
    <xf numFmtId="0" fontId="2" fillId="0" borderId="21" xfId="0" applyFont="1" applyBorder="1" applyAlignment="1">
      <alignment horizontal="center" wrapText="1"/>
    </xf>
    <xf numFmtId="0" fontId="0" fillId="0" borderId="21" xfId="0" applyBorder="1" applyAlignment="1"/>
    <xf numFmtId="0" fontId="3" fillId="0" borderId="21" xfId="0" applyFont="1" applyBorder="1"/>
    <xf numFmtId="2" fontId="11" fillId="0" borderId="21" xfId="0" applyNumberFormat="1" applyFont="1" applyFill="1" applyBorder="1" applyAlignment="1">
      <alignment horizontal="center"/>
    </xf>
    <xf numFmtId="2" fontId="11" fillId="0" borderId="21" xfId="0" applyNumberFormat="1" applyFont="1" applyFill="1" applyBorder="1" applyAlignment="1">
      <alignment horizontal="center" vertical="center"/>
    </xf>
    <xf numFmtId="0" fontId="11" fillId="0" borderId="21" xfId="0" applyNumberFormat="1" applyFont="1" applyFill="1" applyBorder="1" applyAlignment="1">
      <alignment horizontal="justify" vertical="top" wrapText="1"/>
    </xf>
    <xf numFmtId="0" fontId="12" fillId="0" borderId="21" xfId="0" applyNumberFormat="1" applyFont="1" applyFill="1" applyBorder="1" applyAlignment="1">
      <alignment horizontal="right" vertical="top" wrapText="1"/>
    </xf>
    <xf numFmtId="2" fontId="12" fillId="0" borderId="21" xfId="0" applyNumberFormat="1" applyFont="1" applyFill="1" applyBorder="1" applyAlignment="1">
      <alignment horizontal="center" vertical="center" wrapText="1"/>
    </xf>
    <xf numFmtId="0" fontId="12" fillId="0" borderId="21" xfId="0" applyFont="1" applyBorder="1" applyAlignment="1">
      <alignment horizontal="center" vertical="center" wrapText="1"/>
    </xf>
    <xf numFmtId="1" fontId="12" fillId="0" borderId="21" xfId="0" applyNumberFormat="1" applyFont="1" applyFill="1" applyBorder="1" applyAlignment="1">
      <alignment horizontal="center" vertical="center"/>
    </xf>
    <xf numFmtId="0" fontId="3" fillId="0" borderId="21" xfId="0" applyFont="1" applyBorder="1" applyAlignment="1">
      <alignment horizontal="center" vertical="center"/>
    </xf>
    <xf numFmtId="0" fontId="12" fillId="0" borderId="21" xfId="0" applyFont="1" applyBorder="1" applyAlignment="1">
      <alignment horizontal="right" vertical="top"/>
    </xf>
    <xf numFmtId="0" fontId="12" fillId="0" borderId="21" xfId="0" applyFont="1" applyFill="1" applyBorder="1" applyAlignment="1">
      <alignment vertical="top" wrapText="1"/>
    </xf>
    <xf numFmtId="0" fontId="3" fillId="0" borderId="21" xfId="0" applyFont="1" applyFill="1" applyBorder="1" applyAlignment="1">
      <alignment horizontal="right" wrapText="1"/>
    </xf>
    <xf numFmtId="0" fontId="11" fillId="0" borderId="21" xfId="0" applyNumberFormat="1" applyFont="1" applyFill="1" applyBorder="1" applyAlignment="1">
      <alignment horizontal="center" vertical="top" wrapText="1"/>
    </xf>
    <xf numFmtId="2" fontId="11" fillId="0" borderId="21" xfId="0" applyNumberFormat="1" applyFont="1" applyFill="1" applyBorder="1" applyAlignment="1">
      <alignment horizontal="left"/>
    </xf>
    <xf numFmtId="0" fontId="11" fillId="0" borderId="21" xfId="0" applyNumberFormat="1" applyFont="1" applyFill="1" applyBorder="1" applyAlignment="1">
      <alignment horizontal="right" vertical="top" wrapText="1"/>
    </xf>
    <xf numFmtId="2" fontId="12" fillId="0" borderId="21" xfId="0" applyNumberFormat="1" applyFont="1" applyFill="1" applyBorder="1" applyAlignment="1">
      <alignment horizontal="right"/>
    </xf>
    <xf numFmtId="2" fontId="11" fillId="0" borderId="21" xfId="0" applyNumberFormat="1" applyFont="1" applyFill="1" applyBorder="1" applyAlignment="1">
      <alignment horizontal="right"/>
    </xf>
    <xf numFmtId="0" fontId="12" fillId="0" borderId="21" xfId="0" applyNumberFormat="1" applyFont="1" applyFill="1" applyBorder="1" applyAlignment="1">
      <alignment horizontal="left" vertical="top" wrapText="1"/>
    </xf>
    <xf numFmtId="0" fontId="12" fillId="0" borderId="21" xfId="0" applyNumberFormat="1" applyFont="1" applyFill="1" applyBorder="1" applyAlignment="1">
      <alignment horizontal="left" vertical="top"/>
    </xf>
    <xf numFmtId="0" fontId="11" fillId="0" borderId="21" xfId="0" applyNumberFormat="1" applyFont="1" applyFill="1" applyBorder="1" applyAlignment="1">
      <alignment horizontal="right" vertical="center" wrapText="1"/>
    </xf>
    <xf numFmtId="2" fontId="11" fillId="0" borderId="21" xfId="0" applyNumberFormat="1" applyFont="1" applyFill="1" applyBorder="1" applyAlignment="1">
      <alignment horizontal="right" vertical="center"/>
    </xf>
    <xf numFmtId="2" fontId="11" fillId="0" borderId="21" xfId="0" applyNumberFormat="1" applyFont="1" applyFill="1" applyBorder="1" applyAlignment="1">
      <alignment horizontal="left" vertical="center"/>
    </xf>
    <xf numFmtId="0" fontId="3" fillId="0" borderId="21" xfId="0" applyFont="1" applyBorder="1" applyAlignment="1">
      <alignment horizontal="left"/>
    </xf>
    <xf numFmtId="0" fontId="12" fillId="0" borderId="21" xfId="0" applyFont="1" applyBorder="1" applyAlignment="1">
      <alignment horizontal="center" vertical="center"/>
    </xf>
    <xf numFmtId="2" fontId="11" fillId="0" borderId="21" xfId="0" applyNumberFormat="1" applyFont="1" applyFill="1" applyBorder="1" applyAlignment="1"/>
    <xf numFmtId="2" fontId="12" fillId="0" borderId="21" xfId="0" applyNumberFormat="1" applyFont="1" applyFill="1" applyBorder="1" applyAlignment="1"/>
    <xf numFmtId="0" fontId="12" fillId="0" borderId="21" xfId="0" applyFont="1" applyFill="1" applyBorder="1" applyAlignment="1">
      <alignment horizontal="right" vertical="center" wrapText="1"/>
    </xf>
    <xf numFmtId="0" fontId="12" fillId="0" borderId="21" xfId="0" applyFont="1" applyFill="1" applyBorder="1" applyAlignment="1">
      <alignment horizontal="center" vertical="center" wrapText="1"/>
    </xf>
    <xf numFmtId="2" fontId="35" fillId="0" borderId="21" xfId="0" applyNumberFormat="1" applyFont="1" applyFill="1" applyBorder="1" applyAlignment="1">
      <alignment horizontal="left"/>
    </xf>
    <xf numFmtId="0" fontId="11" fillId="0" borderId="21" xfId="0" applyNumberFormat="1" applyFont="1" applyFill="1" applyBorder="1" applyAlignment="1">
      <alignment horizontal="left" vertical="top" wrapText="1"/>
    </xf>
    <xf numFmtId="0" fontId="6" fillId="0" borderId="21" xfId="0" applyFont="1" applyBorder="1" applyAlignment="1">
      <alignment horizontal="right" wrapText="1"/>
    </xf>
    <xf numFmtId="0" fontId="3" fillId="0" borderId="21" xfId="0" applyFont="1" applyFill="1" applyBorder="1" applyAlignment="1">
      <alignment horizontal="center" vertical="center" wrapText="1"/>
    </xf>
    <xf numFmtId="2" fontId="3" fillId="0" borderId="21" xfId="0" applyNumberFormat="1" applyFont="1" applyFill="1" applyBorder="1" applyAlignment="1">
      <alignment horizontal="center" vertical="center" wrapText="1"/>
    </xf>
    <xf numFmtId="0" fontId="3" fillId="0" borderId="21" xfId="0" applyFont="1" applyBorder="1" applyAlignment="1">
      <alignment horizontal="center" wrapText="1"/>
    </xf>
    <xf numFmtId="0" fontId="6" fillId="0" borderId="21" xfId="0" applyFont="1" applyFill="1" applyBorder="1" applyAlignment="1">
      <alignment horizontal="right" wrapText="1"/>
    </xf>
    <xf numFmtId="0" fontId="3" fillId="0" borderId="21" xfId="0" applyFont="1" applyBorder="1" applyAlignment="1">
      <alignment horizontal="center" vertical="center" wrapText="1"/>
    </xf>
    <xf numFmtId="0" fontId="3" fillId="0" borderId="21" xfId="0" applyFont="1" applyFill="1" applyBorder="1" applyAlignment="1">
      <alignment horizontal="center" wrapText="1"/>
    </xf>
    <xf numFmtId="0" fontId="6" fillId="0" borderId="21" xfId="0" applyFont="1" applyBorder="1" applyAlignment="1">
      <alignment horizontal="right" vertical="center" wrapText="1"/>
    </xf>
    <xf numFmtId="0" fontId="1" fillId="0" borderId="21" xfId="0" applyFont="1" applyBorder="1" applyAlignment="1">
      <alignment horizontal="center"/>
    </xf>
    <xf numFmtId="0" fontId="12" fillId="0" borderId="21" xfId="0" applyFont="1" applyBorder="1" applyAlignment="1">
      <alignment horizontal="justify" vertical="top" wrapText="1"/>
    </xf>
    <xf numFmtId="0" fontId="11" fillId="0" borderId="21" xfId="0" applyFont="1" applyBorder="1" applyAlignment="1">
      <alignment horizontal="justify" vertical="top" wrapText="1"/>
    </xf>
    <xf numFmtId="2" fontId="3" fillId="0" borderId="21" xfId="0" applyNumberFormat="1" applyFont="1" applyBorder="1" applyAlignment="1">
      <alignment horizontal="center" vertical="center" wrapText="1"/>
    </xf>
    <xf numFmtId="1" fontId="12" fillId="0" borderId="21" xfId="0" applyNumberFormat="1" applyFont="1" applyFill="1" applyBorder="1" applyAlignment="1">
      <alignment horizontal="center" vertical="center" wrapText="1"/>
    </xf>
    <xf numFmtId="0" fontId="1" fillId="0" borderId="21" xfId="0" applyFont="1" applyBorder="1" applyAlignment="1">
      <alignment horizontal="center" vertical="center"/>
    </xf>
    <xf numFmtId="0" fontId="0" fillId="0" borderId="21" xfId="0" applyBorder="1" applyAlignment="1">
      <alignment horizontal="center" vertical="center"/>
    </xf>
    <xf numFmtId="0" fontId="2" fillId="0" borderId="21" xfId="0" applyFont="1" applyBorder="1" applyAlignment="1">
      <alignment horizontal="center" vertical="center" wrapText="1"/>
    </xf>
    <xf numFmtId="0" fontId="0" fillId="0" borderId="21" xfId="0" applyBorder="1" applyAlignment="1">
      <alignment horizontal="center" wrapText="1"/>
    </xf>
    <xf numFmtId="0" fontId="0" fillId="0" borderId="21" xfId="0" applyBorder="1" applyAlignment="1">
      <alignment vertical="center"/>
    </xf>
    <xf numFmtId="0" fontId="1" fillId="0" borderId="21" xfId="0" applyFont="1" applyBorder="1" applyAlignment="1">
      <alignment horizontal="left"/>
    </xf>
    <xf numFmtId="0" fontId="11" fillId="0" borderId="21" xfId="0" applyFont="1" applyBorder="1" applyAlignment="1">
      <alignment horizontal="justify" vertical="top"/>
    </xf>
    <xf numFmtId="0" fontId="12" fillId="0" borderId="21" xfId="0" applyFont="1" applyBorder="1" applyAlignment="1">
      <alignment vertical="center"/>
    </xf>
    <xf numFmtId="0" fontId="12" fillId="0" borderId="21" xfId="0" applyFont="1" applyBorder="1" applyAlignment="1">
      <alignment horizontal="left"/>
    </xf>
    <xf numFmtId="0" fontId="12" fillId="0" borderId="21" xfId="0" applyFont="1" applyBorder="1" applyAlignment="1">
      <alignment horizontal="right" vertical="top" wrapText="1"/>
    </xf>
    <xf numFmtId="0" fontId="12" fillId="0" borderId="21" xfId="0" applyFont="1" applyBorder="1" applyAlignment="1">
      <alignment horizontal="justify" vertical="top"/>
    </xf>
    <xf numFmtId="0" fontId="12" fillId="0" borderId="21" xfId="0" applyFont="1" applyFill="1" applyBorder="1" applyAlignment="1">
      <alignment horizontal="justify" vertical="top" wrapText="1"/>
    </xf>
    <xf numFmtId="1" fontId="12" fillId="0" borderId="21" xfId="0" applyNumberFormat="1" applyFont="1" applyFill="1" applyBorder="1" applyAlignment="1">
      <alignment horizontal="left" wrapText="1"/>
    </xf>
    <xf numFmtId="0" fontId="12" fillId="0" borderId="21" xfId="0" applyFont="1" applyBorder="1" applyAlignment="1">
      <alignment horizontal="left" wrapText="1"/>
    </xf>
    <xf numFmtId="2" fontId="0" fillId="0" borderId="21" xfId="0" applyNumberFormat="1" applyBorder="1"/>
    <xf numFmtId="0" fontId="1" fillId="0" borderId="20" xfId="0" applyFont="1" applyBorder="1"/>
    <xf numFmtId="0" fontId="12" fillId="0" borderId="23" xfId="0" applyFont="1" applyFill="1" applyBorder="1" applyAlignment="1">
      <alignment horizontal="center" vertical="top" wrapText="1"/>
    </xf>
    <xf numFmtId="0" fontId="12" fillId="0" borderId="23" xfId="0" applyNumberFormat="1" applyFont="1" applyFill="1" applyBorder="1" applyAlignment="1">
      <alignment horizontal="justify" vertical="top" wrapText="1"/>
    </xf>
    <xf numFmtId="1" fontId="12" fillId="0" borderId="23" xfId="0" applyNumberFormat="1" applyFont="1" applyFill="1" applyBorder="1" applyAlignment="1">
      <alignment horizontal="center"/>
    </xf>
    <xf numFmtId="2" fontId="12" fillId="0" borderId="23" xfId="0" applyNumberFormat="1" applyFont="1" applyFill="1" applyBorder="1" applyAlignment="1">
      <alignment horizontal="center"/>
    </xf>
    <xf numFmtId="2" fontId="12" fillId="0" borderId="23" xfId="0" applyNumberFormat="1" applyFont="1" applyFill="1" applyBorder="1" applyAlignment="1">
      <alignment horizontal="right" vertical="center" wrapText="1"/>
    </xf>
    <xf numFmtId="0" fontId="12" fillId="0" borderId="23" xfId="0" applyFont="1" applyBorder="1" applyAlignment="1">
      <alignment horizontal="right" vertical="center" wrapText="1"/>
    </xf>
    <xf numFmtId="2" fontId="12" fillId="0" borderId="23" xfId="0" applyNumberFormat="1" applyFont="1" applyFill="1" applyBorder="1" applyAlignment="1">
      <alignment horizontal="center" vertical="center"/>
    </xf>
    <xf numFmtId="2" fontId="12" fillId="0" borderId="23" xfId="0" applyNumberFormat="1" applyFont="1" applyFill="1" applyBorder="1" applyAlignment="1">
      <alignment horizontal="left"/>
    </xf>
    <xf numFmtId="2" fontId="12" fillId="0" borderId="21" xfId="0" applyNumberFormat="1" applyFont="1" applyFill="1" applyBorder="1" applyAlignment="1">
      <alignment horizontal="right" vertical="center"/>
    </xf>
    <xf numFmtId="0" fontId="3" fillId="0" borderId="21" xfId="0" applyFont="1" applyBorder="1" applyAlignment="1">
      <alignment horizontal="right" vertical="center"/>
    </xf>
    <xf numFmtId="2" fontId="38" fillId="0" borderId="21" xfId="0" applyNumberFormat="1" applyFont="1" applyFill="1" applyBorder="1" applyAlignment="1">
      <alignment horizontal="left" vertical="center"/>
    </xf>
    <xf numFmtId="2" fontId="11" fillId="0" borderId="22" xfId="0" applyNumberFormat="1" applyFont="1" applyFill="1" applyBorder="1" applyAlignment="1">
      <alignment horizontal="right" vertical="center"/>
    </xf>
    <xf numFmtId="2" fontId="11" fillId="0" borderId="24" xfId="0" applyNumberFormat="1" applyFont="1" applyFill="1" applyBorder="1" applyAlignment="1">
      <alignment horizontal="right" vertical="center"/>
    </xf>
    <xf numFmtId="2" fontId="12" fillId="0" borderId="22" xfId="0" applyNumberFormat="1" applyFont="1" applyFill="1" applyBorder="1" applyAlignment="1">
      <alignment horizontal="right" vertical="center"/>
    </xf>
    <xf numFmtId="0" fontId="1" fillId="0" borderId="21" xfId="0" applyFont="1" applyBorder="1" applyAlignment="1">
      <alignment horizontal="right"/>
    </xf>
    <xf numFmtId="1" fontId="12" fillId="0" borderId="21" xfId="0" applyNumberFormat="1" applyFont="1" applyFill="1" applyBorder="1" applyAlignment="1">
      <alignment horizontal="center" vertical="top"/>
    </xf>
    <xf numFmtId="0" fontId="0" fillId="0" borderId="20" xfId="0" applyBorder="1"/>
    <xf numFmtId="0" fontId="8" fillId="0" borderId="0" xfId="0" applyFont="1" applyBorder="1" applyAlignment="1">
      <alignment horizontal="center" wrapText="1"/>
    </xf>
    <xf numFmtId="0" fontId="8" fillId="0" borderId="0" xfId="0" applyFont="1" applyBorder="1" applyAlignment="1">
      <alignment horizontal="center" vertical="center" wrapText="1"/>
    </xf>
    <xf numFmtId="0" fontId="8" fillId="0" borderId="0" xfId="0" applyFont="1" applyBorder="1"/>
    <xf numFmtId="0" fontId="8" fillId="0" borderId="0" xfId="0" applyFont="1" applyBorder="1" applyAlignment="1">
      <alignment horizontal="center" vertical="center"/>
    </xf>
    <xf numFmtId="0" fontId="10" fillId="0" borderId="0" xfId="0" applyFont="1" applyBorder="1"/>
    <xf numFmtId="0" fontId="8" fillId="0" borderId="0" xfId="0" applyFont="1" applyFill="1" applyBorder="1"/>
    <xf numFmtId="0" fontId="8" fillId="0" borderId="0" xfId="0" applyFont="1" applyFill="1" applyBorder="1" applyAlignment="1">
      <alignment vertical="center"/>
    </xf>
    <xf numFmtId="0" fontId="6" fillId="6" borderId="21" xfId="0" applyFont="1" applyFill="1" applyBorder="1" applyAlignment="1">
      <alignment horizontal="right" vertical="center" wrapText="1"/>
    </xf>
    <xf numFmtId="2" fontId="11" fillId="6" borderId="21" xfId="0" applyNumberFormat="1" applyFont="1" applyFill="1" applyBorder="1" applyAlignment="1">
      <alignment horizontal="right" vertical="center"/>
    </xf>
    <xf numFmtId="2" fontId="11" fillId="6" borderId="21" xfId="0" applyNumberFormat="1" applyFont="1" applyFill="1" applyBorder="1" applyAlignment="1">
      <alignment horizontal="center" vertical="center"/>
    </xf>
    <xf numFmtId="2" fontId="11" fillId="6" borderId="21" xfId="0" applyNumberFormat="1" applyFont="1" applyFill="1" applyBorder="1" applyAlignment="1">
      <alignment horizontal="right"/>
    </xf>
    <xf numFmtId="0" fontId="10" fillId="6" borderId="1" xfId="0" applyFont="1" applyFill="1" applyBorder="1" applyAlignment="1">
      <alignment horizontal="center" vertical="center" wrapText="1"/>
    </xf>
    <xf numFmtId="0" fontId="10" fillId="6" borderId="1" xfId="0" applyFont="1" applyFill="1" applyBorder="1" applyAlignment="1">
      <alignment horizontal="center" vertical="center"/>
    </xf>
    <xf numFmtId="2" fontId="11" fillId="6" borderId="21" xfId="0" applyNumberFormat="1" applyFont="1" applyFill="1" applyBorder="1" applyAlignment="1">
      <alignment horizontal="left" vertical="center"/>
    </xf>
    <xf numFmtId="2" fontId="11" fillId="6" borderId="21" xfId="0" applyNumberFormat="1" applyFont="1" applyFill="1" applyBorder="1" applyAlignment="1">
      <alignment horizontal="left"/>
    </xf>
    <xf numFmtId="0" fontId="6" fillId="6" borderId="21" xfId="0" applyFont="1" applyFill="1" applyBorder="1" applyAlignment="1">
      <alignment horizontal="left" vertical="center"/>
    </xf>
    <xf numFmtId="0" fontId="11" fillId="6" borderId="25" xfId="0" applyFont="1" applyFill="1" applyBorder="1" applyAlignment="1">
      <alignment vertical="center" wrapText="1"/>
    </xf>
    <xf numFmtId="2" fontId="11" fillId="0" borderId="25" xfId="0" applyNumberFormat="1" applyFont="1" applyFill="1" applyBorder="1" applyAlignment="1">
      <alignment vertical="center" wrapText="1"/>
    </xf>
    <xf numFmtId="2" fontId="11" fillId="6" borderId="24" xfId="0" applyNumberFormat="1" applyFont="1" applyFill="1" applyBorder="1" applyAlignment="1">
      <alignment horizontal="right" vertical="center"/>
    </xf>
    <xf numFmtId="2" fontId="11" fillId="6" borderId="24" xfId="0" applyNumberFormat="1" applyFont="1" applyFill="1" applyBorder="1" applyAlignment="1">
      <alignment horizontal="center" vertical="center"/>
    </xf>
    <xf numFmtId="2" fontId="11" fillId="6" borderId="21" xfId="0" applyNumberFormat="1" applyFont="1" applyFill="1" applyBorder="1" applyAlignment="1">
      <alignment horizontal="center"/>
    </xf>
    <xf numFmtId="0" fontId="11" fillId="0" borderId="21" xfId="0" applyNumberFormat="1" applyFont="1" applyFill="1" applyBorder="1" applyAlignment="1">
      <alignment horizontal="center" vertical="top" wrapText="1"/>
    </xf>
    <xf numFmtId="1" fontId="12" fillId="0" borderId="21" xfId="0" applyNumberFormat="1" applyFont="1" applyBorder="1" applyAlignment="1">
      <alignment horizontal="center" vertical="top"/>
    </xf>
    <xf numFmtId="0" fontId="12" fillId="0" borderId="21" xfId="0" applyFont="1" applyBorder="1" applyAlignment="1">
      <alignment horizontal="center" vertical="top"/>
    </xf>
    <xf numFmtId="0" fontId="12" fillId="0" borderId="21" xfId="0" applyFont="1" applyFill="1" applyBorder="1" applyAlignment="1">
      <alignment horizontal="center" vertical="top" wrapText="1"/>
    </xf>
    <xf numFmtId="0" fontId="2" fillId="0" borderId="21" xfId="0" applyFont="1" applyBorder="1" applyAlignment="1">
      <alignment horizontal="center" vertical="center" wrapText="1"/>
    </xf>
    <xf numFmtId="0" fontId="0" fillId="0" borderId="21" xfId="0" applyBorder="1" applyAlignment="1">
      <alignment horizontal="center" wrapText="1"/>
    </xf>
    <xf numFmtId="2" fontId="11" fillId="0" borderId="21" xfId="0" applyNumberFormat="1" applyFont="1" applyFill="1" applyBorder="1" applyAlignment="1">
      <alignment horizontal="right"/>
    </xf>
    <xf numFmtId="0" fontId="12" fillId="0" borderId="21" xfId="0" applyNumberFormat="1" applyFont="1" applyFill="1" applyBorder="1" applyAlignment="1">
      <alignment horizontal="right" vertical="top" wrapText="1"/>
    </xf>
    <xf numFmtId="0" fontId="2" fillId="0" borderId="21" xfId="0" applyFont="1" applyBorder="1" applyAlignment="1">
      <alignment horizontal="center" wrapText="1"/>
    </xf>
    <xf numFmtId="0" fontId="0" fillId="0" borderId="21" xfId="0" applyBorder="1" applyAlignment="1"/>
    <xf numFmtId="0" fontId="2" fillId="0" borderId="21" xfId="0" applyFont="1" applyBorder="1" applyAlignment="1">
      <alignment horizontal="center" wrapText="1"/>
    </xf>
    <xf numFmtId="0" fontId="0" fillId="0" borderId="21" xfId="0" applyBorder="1" applyAlignment="1"/>
    <xf numFmtId="0" fontId="12" fillId="0" borderId="21" xfId="0" applyNumberFormat="1" applyFont="1" applyFill="1" applyBorder="1" applyAlignment="1">
      <alignment horizontal="right" vertical="top" wrapText="1"/>
    </xf>
    <xf numFmtId="2" fontId="12" fillId="0" borderId="21" xfId="0" applyNumberFormat="1" applyFont="1" applyFill="1" applyBorder="1" applyAlignment="1">
      <alignment horizontal="left" vertical="top" wrapText="1"/>
    </xf>
    <xf numFmtId="2" fontId="12" fillId="0" borderId="21" xfId="0" applyNumberFormat="1" applyFont="1" applyFill="1" applyBorder="1" applyAlignment="1">
      <alignment horizontal="center" vertical="top"/>
    </xf>
    <xf numFmtId="2" fontId="8" fillId="0" borderId="21" xfId="0" applyNumberFormat="1" applyFont="1" applyFill="1" applyBorder="1" applyAlignment="1">
      <alignment horizontal="left" vertical="top" wrapText="1"/>
    </xf>
    <xf numFmtId="2" fontId="11" fillId="6" borderId="21" xfId="0" applyNumberFormat="1" applyFont="1" applyFill="1" applyBorder="1" applyAlignment="1"/>
    <xf numFmtId="2" fontId="8" fillId="0" borderId="21" xfId="0" applyNumberFormat="1" applyFont="1" applyFill="1" applyBorder="1" applyAlignment="1">
      <alignment horizontal="center"/>
    </xf>
    <xf numFmtId="2" fontId="12" fillId="0" borderId="21" xfId="0" applyNumberFormat="1" applyFont="1" applyFill="1" applyBorder="1" applyAlignment="1">
      <alignment horizontal="right" vertical="top" wrapText="1"/>
    </xf>
    <xf numFmtId="0" fontId="12" fillId="0" borderId="21" xfId="0" applyFont="1" applyBorder="1" applyAlignment="1">
      <alignment horizontal="center"/>
    </xf>
    <xf numFmtId="2" fontId="12" fillId="0" borderId="21" xfId="0" applyNumberFormat="1" applyFont="1" applyBorder="1" applyAlignment="1">
      <alignment horizontal="center"/>
    </xf>
    <xf numFmtId="2" fontId="12" fillId="0" borderId="21" xfId="0" applyNumberFormat="1" applyFont="1" applyBorder="1" applyAlignment="1">
      <alignment horizontal="right" vertical="center"/>
    </xf>
    <xf numFmtId="2" fontId="12" fillId="0" borderId="21" xfId="0" applyNumberFormat="1" applyFont="1" applyBorder="1"/>
    <xf numFmtId="0" fontId="12" fillId="0" borderId="21" xfId="2" applyFont="1" applyBorder="1" applyAlignment="1">
      <alignment horizontal="center" vertical="top" wrapText="1"/>
    </xf>
    <xf numFmtId="0" fontId="50" fillId="0" borderId="21" xfId="0" applyFont="1" applyBorder="1" applyAlignment="1">
      <alignment vertical="top" wrapText="1"/>
    </xf>
    <xf numFmtId="0" fontId="12" fillId="0" borderId="23" xfId="0" applyFont="1" applyBorder="1" applyAlignment="1">
      <alignment horizontal="left" vertical="center" wrapText="1"/>
    </xf>
    <xf numFmtId="0" fontId="48" fillId="0" borderId="21" xfId="0" applyFont="1" applyBorder="1" applyAlignment="1">
      <alignment horizontal="center"/>
    </xf>
    <xf numFmtId="0" fontId="11" fillId="0" borderId="21" xfId="0" applyFont="1" applyBorder="1" applyAlignment="1">
      <alignment horizontal="right" vertical="center" wrapText="1"/>
    </xf>
    <xf numFmtId="0" fontId="12" fillId="0" borderId="21" xfId="0" applyFont="1" applyBorder="1" applyAlignment="1">
      <alignment horizontal="left" vertical="center" wrapText="1"/>
    </xf>
    <xf numFmtId="2" fontId="12" fillId="0" borderId="21" xfId="0" applyNumberFormat="1" applyFont="1" applyBorder="1" applyAlignment="1">
      <alignment horizontal="right" vertical="center" wrapText="1"/>
    </xf>
    <xf numFmtId="0" fontId="12" fillId="0" borderId="21" xfId="0" applyFont="1" applyBorder="1" applyAlignment="1">
      <alignment horizontal="center" vertical="top" wrapText="1"/>
    </xf>
    <xf numFmtId="2" fontId="41" fillId="3" borderId="21" xfId="0" applyNumberFormat="1" applyFont="1" applyFill="1" applyBorder="1" applyAlignment="1">
      <alignment horizontal="center" vertical="center"/>
    </xf>
    <xf numFmtId="0" fontId="51" fillId="0" borderId="21" xfId="0" applyFont="1" applyBorder="1" applyAlignment="1">
      <alignment horizontal="center"/>
    </xf>
    <xf numFmtId="2" fontId="12" fillId="0" borderId="21" xfId="0" applyNumberFormat="1" applyFont="1" applyBorder="1" applyAlignment="1">
      <alignment horizontal="center" vertical="center" wrapText="1"/>
    </xf>
    <xf numFmtId="0" fontId="12" fillId="0" borderId="21" xfId="0" applyFont="1" applyBorder="1" applyAlignment="1">
      <alignment horizontal="left" vertical="top" wrapText="1"/>
    </xf>
    <xf numFmtId="2" fontId="8" fillId="0" borderId="21" xfId="0" applyNumberFormat="1" applyFont="1" applyBorder="1" applyAlignment="1">
      <alignment horizontal="left" vertical="center" wrapText="1"/>
    </xf>
    <xf numFmtId="2" fontId="11" fillId="6" borderId="21" xfId="0" applyNumberFormat="1" applyFont="1" applyFill="1" applyBorder="1" applyAlignment="1">
      <alignment horizontal="right" vertical="center" wrapText="1"/>
    </xf>
    <xf numFmtId="0" fontId="11" fillId="6" borderId="21" xfId="0" applyFont="1" applyFill="1" applyBorder="1" applyAlignment="1">
      <alignment horizontal="left" vertical="center" wrapText="1"/>
    </xf>
    <xf numFmtId="2" fontId="11" fillId="6" borderId="21" xfId="0" applyNumberFormat="1" applyFont="1" applyFill="1" applyBorder="1" applyAlignment="1">
      <alignment horizontal="left" vertical="center" wrapText="1"/>
    </xf>
    <xf numFmtId="0" fontId="42" fillId="3" borderId="21" xfId="0" applyFont="1" applyFill="1" applyBorder="1" applyAlignment="1">
      <alignment horizontal="center" vertical="top" wrapText="1"/>
    </xf>
    <xf numFmtId="0" fontId="9" fillId="0" borderId="21" xfId="0" applyNumberFormat="1" applyFont="1" applyFill="1" applyBorder="1" applyAlignment="1">
      <alignment horizontal="left" vertical="top" wrapText="1"/>
    </xf>
    <xf numFmtId="0" fontId="9" fillId="0" borderId="21" xfId="0" applyNumberFormat="1" applyFont="1" applyFill="1" applyBorder="1" applyAlignment="1">
      <alignment horizontal="center" vertical="top" wrapText="1"/>
    </xf>
    <xf numFmtId="2" fontId="8" fillId="0" borderId="21" xfId="0" applyNumberFormat="1" applyFont="1" applyFill="1" applyBorder="1" applyAlignment="1">
      <alignment horizontal="center" vertical="top" wrapText="1"/>
    </xf>
    <xf numFmtId="2" fontId="9" fillId="0" borderId="21" xfId="0" applyNumberFormat="1" applyFont="1" applyFill="1" applyBorder="1" applyAlignment="1">
      <alignment horizontal="right" vertical="top" wrapText="1"/>
    </xf>
    <xf numFmtId="2" fontId="10" fillId="5" borderId="21" xfId="0" applyNumberFormat="1" applyFont="1" applyFill="1" applyBorder="1" applyAlignment="1">
      <alignment horizontal="right" vertical="top" wrapText="1"/>
    </xf>
    <xf numFmtId="0" fontId="52" fillId="0" borderId="26" xfId="0" applyFont="1" applyFill="1" applyBorder="1" applyAlignment="1">
      <alignment horizontal="left" vertical="top" wrapText="1"/>
    </xf>
    <xf numFmtId="0" fontId="10" fillId="6" borderId="21" xfId="0" applyNumberFormat="1" applyFont="1" applyFill="1" applyBorder="1" applyAlignment="1">
      <alignment horizontal="left" vertical="top" wrapText="1"/>
    </xf>
    <xf numFmtId="2" fontId="10" fillId="6" borderId="21" xfId="0" applyNumberFormat="1" applyFont="1" applyFill="1" applyBorder="1" applyAlignment="1">
      <alignment horizontal="right" vertical="top" wrapText="1"/>
    </xf>
    <xf numFmtId="2" fontId="43" fillId="6" borderId="28" xfId="4" applyNumberFormat="1" applyFont="1" applyFill="1" applyBorder="1" applyAlignment="1">
      <alignment horizontal="center" vertical="center" wrapText="1"/>
    </xf>
    <xf numFmtId="2" fontId="11" fillId="6" borderId="21" xfId="0" applyNumberFormat="1" applyFont="1" applyFill="1" applyBorder="1" applyAlignment="1">
      <alignment horizontal="right" vertical="top" wrapText="1"/>
    </xf>
    <xf numFmtId="0" fontId="10" fillId="6" borderId="21" xfId="0" applyNumberFormat="1" applyFont="1" applyFill="1" applyBorder="1" applyAlignment="1">
      <alignment horizontal="left" vertical="center" wrapText="1"/>
    </xf>
    <xf numFmtId="2" fontId="47" fillId="6" borderId="21" xfId="0" applyNumberFormat="1" applyFont="1" applyFill="1" applyBorder="1" applyAlignment="1">
      <alignment horizontal="right" vertical="center" wrapText="1"/>
    </xf>
    <xf numFmtId="1" fontId="11" fillId="0" borderId="21" xfId="0" applyNumberFormat="1" applyFont="1" applyFill="1" applyBorder="1" applyAlignment="1">
      <alignment horizontal="center"/>
    </xf>
    <xf numFmtId="0" fontId="54" fillId="0" borderId="21" xfId="0" applyFont="1" applyFill="1" applyBorder="1" applyAlignment="1">
      <alignment horizontal="center" vertical="top"/>
    </xf>
    <xf numFmtId="0" fontId="54" fillId="0" borderId="21" xfId="0" applyFont="1" applyFill="1" applyBorder="1" applyAlignment="1">
      <alignment horizontal="center"/>
    </xf>
    <xf numFmtId="0" fontId="54" fillId="0" borderId="21" xfId="0" applyFont="1" applyFill="1" applyBorder="1" applyAlignment="1">
      <alignment horizontal="right"/>
    </xf>
    <xf numFmtId="0" fontId="50" fillId="0" borderId="21" xfId="0" applyFont="1" applyFill="1" applyBorder="1" applyAlignment="1">
      <alignment horizontal="right"/>
    </xf>
    <xf numFmtId="2" fontId="50" fillId="0" borderId="21" xfId="0" applyNumberFormat="1" applyFont="1" applyFill="1" applyBorder="1" applyAlignment="1">
      <alignment horizontal="right"/>
    </xf>
    <xf numFmtId="0" fontId="55" fillId="6" borderId="21" xfId="0" applyFont="1" applyFill="1" applyBorder="1" applyAlignment="1">
      <alignment horizontal="right"/>
    </xf>
    <xf numFmtId="2" fontId="55" fillId="6" borderId="24" xfId="0" applyNumberFormat="1" applyFont="1" applyFill="1" applyBorder="1" applyAlignment="1">
      <alignment horizontal="right"/>
    </xf>
    <xf numFmtId="2" fontId="55" fillId="6" borderId="21" xfId="0" applyNumberFormat="1" applyFont="1" applyFill="1" applyBorder="1" applyAlignment="1">
      <alignment horizontal="right"/>
    </xf>
    <xf numFmtId="0" fontId="50" fillId="0" borderId="21" xfId="0" applyFont="1" applyFill="1" applyBorder="1" applyAlignment="1">
      <alignment horizontal="center" wrapText="1"/>
    </xf>
    <xf numFmtId="2" fontId="50" fillId="0" borderId="21" xfId="0" applyNumberFormat="1" applyFont="1" applyFill="1" applyBorder="1" applyAlignment="1">
      <alignment horizontal="center" wrapText="1"/>
    </xf>
    <xf numFmtId="2" fontId="50" fillId="0" borderId="21" xfId="0" applyNumberFormat="1" applyFont="1" applyFill="1" applyBorder="1" applyAlignment="1">
      <alignment horizontal="right" wrapText="1"/>
    </xf>
    <xf numFmtId="0" fontId="50" fillId="0" borderId="21" xfId="0" applyFont="1" applyFill="1" applyBorder="1" applyAlignment="1">
      <alignment horizontal="left" vertical="top" wrapText="1"/>
    </xf>
    <xf numFmtId="0" fontId="56" fillId="0" borderId="21" xfId="0" applyFont="1" applyFill="1" applyBorder="1" applyAlignment="1">
      <alignment horizontal="right" wrapText="1"/>
    </xf>
    <xf numFmtId="0" fontId="50" fillId="0" borderId="21" xfId="0" applyFont="1" applyBorder="1" applyAlignment="1">
      <alignment horizontal="center" vertical="top" wrapText="1"/>
    </xf>
    <xf numFmtId="0" fontId="50" fillId="0" borderId="21" xfId="0" applyFont="1" applyBorder="1" applyAlignment="1">
      <alignment horizontal="center"/>
    </xf>
    <xf numFmtId="2" fontId="50" fillId="0" borderId="21" xfId="0" applyNumberFormat="1" applyFont="1" applyBorder="1" applyAlignment="1">
      <alignment horizontal="right"/>
    </xf>
    <xf numFmtId="0" fontId="50" fillId="0" borderId="21" xfId="0" applyFont="1" applyBorder="1"/>
    <xf numFmtId="21" fontId="45" fillId="0" borderId="21" xfId="0" applyNumberFormat="1" applyFont="1" applyBorder="1" applyAlignment="1">
      <alignment horizontal="right"/>
    </xf>
    <xf numFmtId="2" fontId="50" fillId="0" borderId="21" xfId="0" applyNumberFormat="1" applyFont="1" applyBorder="1" applyAlignment="1">
      <alignment horizontal="center"/>
    </xf>
    <xf numFmtId="21" fontId="50" fillId="0" borderId="21" xfId="0" applyNumberFormat="1" applyFont="1" applyBorder="1"/>
    <xf numFmtId="0" fontId="50" fillId="0" borderId="25" xfId="0" applyFont="1" applyBorder="1" applyAlignment="1">
      <alignment horizontal="center"/>
    </xf>
    <xf numFmtId="0" fontId="50" fillId="0" borderId="20" xfId="0" applyFont="1" applyBorder="1" applyAlignment="1">
      <alignment horizontal="center"/>
    </xf>
    <xf numFmtId="0" fontId="12" fillId="0" borderId="21" xfId="0" applyNumberFormat="1" applyFont="1" applyFill="1" applyBorder="1" applyAlignment="1">
      <alignment horizontal="center" vertical="top" wrapText="1"/>
    </xf>
    <xf numFmtId="2" fontId="12" fillId="0" borderId="21" xfId="0" applyNumberFormat="1" applyFont="1" applyFill="1" applyBorder="1" applyAlignment="1">
      <alignment horizontal="center" vertical="top" wrapText="1"/>
    </xf>
    <xf numFmtId="2" fontId="12" fillId="0" borderId="23" xfId="0" applyNumberFormat="1" applyFont="1" applyFill="1" applyBorder="1" applyAlignment="1">
      <alignment horizontal="left" wrapText="1"/>
    </xf>
    <xf numFmtId="2" fontId="12" fillId="0" borderId="23" xfId="0" applyNumberFormat="1" applyFont="1" applyFill="1" applyBorder="1" applyAlignment="1">
      <alignment horizontal="right"/>
    </xf>
    <xf numFmtId="2" fontId="11" fillId="6" borderId="23" xfId="0" applyNumberFormat="1" applyFont="1" applyFill="1" applyBorder="1" applyAlignment="1">
      <alignment horizontal="right"/>
    </xf>
    <xf numFmtId="2" fontId="12" fillId="0" borderId="23" xfId="0" applyNumberFormat="1" applyFont="1" applyFill="1" applyBorder="1" applyAlignment="1">
      <alignment horizontal="center" vertical="top"/>
    </xf>
    <xf numFmtId="0" fontId="54" fillId="0" borderId="21" xfId="0" applyFont="1" applyFill="1" applyBorder="1" applyAlignment="1">
      <alignment horizontal="center" vertical="top" wrapText="1"/>
    </xf>
    <xf numFmtId="0" fontId="50" fillId="0" borderId="21" xfId="0" applyFont="1" applyFill="1" applyBorder="1" applyAlignment="1">
      <alignment vertical="top" wrapText="1"/>
    </xf>
    <xf numFmtId="0" fontId="54" fillId="0" borderId="21" xfId="0" applyFont="1" applyFill="1" applyBorder="1" applyAlignment="1">
      <alignment vertical="top"/>
    </xf>
    <xf numFmtId="0" fontId="45" fillId="0" borderId="21" xfId="0" applyFont="1" applyFill="1" applyBorder="1" applyAlignment="1">
      <alignment horizontal="right" vertical="top"/>
    </xf>
    <xf numFmtId="0" fontId="50" fillId="0" borderId="21" xfId="0" applyFont="1" applyFill="1" applyBorder="1" applyAlignment="1">
      <alignment vertical="top"/>
    </xf>
    <xf numFmtId="0" fontId="11" fillId="6" borderId="21" xfId="0" applyNumberFormat="1" applyFont="1" applyFill="1" applyBorder="1" applyAlignment="1">
      <alignment horizontal="center" vertical="top" wrapText="1"/>
    </xf>
    <xf numFmtId="2" fontId="11" fillId="6" borderId="22" xfId="0" applyNumberFormat="1" applyFont="1" applyFill="1" applyBorder="1" applyAlignment="1">
      <alignment horizontal="right" vertical="top" wrapText="1"/>
    </xf>
    <xf numFmtId="2" fontId="45" fillId="6" borderId="21" xfId="0" applyNumberFormat="1" applyFont="1" applyFill="1" applyBorder="1" applyAlignment="1">
      <alignment horizontal="center"/>
    </xf>
    <xf numFmtId="0" fontId="45" fillId="6" borderId="21" xfId="0" applyFont="1" applyFill="1" applyBorder="1"/>
    <xf numFmtId="2" fontId="46" fillId="6" borderId="21" xfId="0" applyNumberFormat="1" applyFont="1" applyFill="1" applyBorder="1"/>
    <xf numFmtId="2" fontId="45" fillId="6" borderId="21" xfId="0" applyNumberFormat="1" applyFont="1" applyFill="1" applyBorder="1"/>
    <xf numFmtId="0" fontId="50" fillId="0" borderId="21" xfId="0" applyFont="1" applyFill="1" applyBorder="1" applyAlignment="1">
      <alignment horizontal="center" vertical="top" wrapText="1"/>
    </xf>
    <xf numFmtId="2" fontId="50" fillId="0" borderId="21" xfId="0" applyNumberFormat="1" applyFont="1" applyFill="1" applyBorder="1" applyAlignment="1">
      <alignment horizontal="center" vertical="top" wrapText="1"/>
    </xf>
    <xf numFmtId="0" fontId="55" fillId="6" borderId="21" xfId="0" applyFont="1" applyFill="1" applyBorder="1" applyAlignment="1">
      <alignment vertical="top"/>
    </xf>
    <xf numFmtId="2" fontId="55" fillId="6" borderId="21" xfId="0" applyNumberFormat="1" applyFont="1" applyFill="1" applyBorder="1" applyAlignment="1">
      <alignment vertical="top"/>
    </xf>
    <xf numFmtId="0" fontId="54" fillId="0" borderId="21" xfId="0" applyFont="1" applyFill="1" applyBorder="1" applyAlignment="1">
      <alignment horizontal="right" vertical="top"/>
    </xf>
    <xf numFmtId="0" fontId="55" fillId="6" borderId="21" xfId="0" applyFont="1" applyFill="1" applyBorder="1" applyAlignment="1">
      <alignment horizontal="right" vertical="top"/>
    </xf>
    <xf numFmtId="2" fontId="55" fillId="6" borderId="24" xfId="0" applyNumberFormat="1" applyFont="1" applyFill="1" applyBorder="1" applyAlignment="1">
      <alignment vertical="top"/>
    </xf>
    <xf numFmtId="2" fontId="11" fillId="0" borderId="29" xfId="0" applyNumberFormat="1" applyFont="1" applyFill="1" applyBorder="1" applyAlignment="1">
      <alignment horizontal="right" vertical="center"/>
    </xf>
    <xf numFmtId="2" fontId="12" fillId="0" borderId="22" xfId="0" applyNumberFormat="1" applyFont="1" applyFill="1" applyBorder="1" applyAlignment="1">
      <alignment horizontal="right" vertical="top" wrapText="1"/>
    </xf>
    <xf numFmtId="2" fontId="12" fillId="0" borderId="23" xfId="0" applyNumberFormat="1" applyFont="1" applyBorder="1" applyAlignment="1">
      <alignment horizontal="right" vertical="center"/>
    </xf>
    <xf numFmtId="2" fontId="38" fillId="6" borderId="21" xfId="0" applyNumberFormat="1" applyFont="1" applyFill="1" applyBorder="1" applyAlignment="1">
      <alignment horizontal="left"/>
    </xf>
    <xf numFmtId="0" fontId="57" fillId="0" borderId="30" xfId="2" applyFont="1" applyBorder="1" applyAlignment="1">
      <alignment horizontal="center" vertical="top"/>
    </xf>
    <xf numFmtId="2" fontId="35" fillId="0" borderId="23" xfId="2" applyNumberFormat="1" applyFont="1" applyBorder="1" applyAlignment="1">
      <alignment horizontal="center"/>
    </xf>
    <xf numFmtId="2" fontId="50" fillId="0" borderId="21" xfId="0" applyNumberFormat="1" applyFont="1" applyBorder="1"/>
    <xf numFmtId="0" fontId="57" fillId="0" borderId="0" xfId="2" applyFont="1"/>
    <xf numFmtId="0" fontId="41" fillId="0" borderId="21" xfId="0" applyFont="1" applyBorder="1" applyAlignment="1">
      <alignment horizontal="justify" vertical="top" wrapText="1"/>
    </xf>
    <xf numFmtId="1" fontId="58" fillId="0" borderId="21" xfId="0" applyNumberFormat="1" applyFont="1" applyBorder="1" applyAlignment="1">
      <alignment horizontal="center"/>
    </xf>
    <xf numFmtId="2" fontId="58" fillId="0" borderId="21" xfId="0" applyNumberFormat="1" applyFont="1" applyBorder="1" applyAlignment="1">
      <alignment horizontal="right"/>
    </xf>
    <xf numFmtId="2" fontId="59" fillId="0" borderId="21" xfId="0" applyNumberFormat="1" applyFont="1" applyBorder="1" applyAlignment="1">
      <alignment horizontal="right"/>
    </xf>
    <xf numFmtId="2" fontId="60" fillId="0" borderId="21" xfId="2" applyNumberFormat="1" applyFont="1" applyBorder="1" applyAlignment="1">
      <alignment horizontal="center" wrapText="1"/>
    </xf>
    <xf numFmtId="2" fontId="58" fillId="0" borderId="21" xfId="0" applyNumberFormat="1" applyFont="1" applyBorder="1" applyAlignment="1">
      <alignment horizontal="left"/>
    </xf>
    <xf numFmtId="0" fontId="57" fillId="0" borderId="21" xfId="2" applyFont="1" applyBorder="1"/>
    <xf numFmtId="2" fontId="57" fillId="0" borderId="21" xfId="2" applyNumberFormat="1" applyFont="1" applyBorder="1"/>
    <xf numFmtId="0" fontId="42" fillId="0" borderId="21" xfId="0" applyFont="1" applyBorder="1" applyAlignment="1">
      <alignment horizontal="left" vertical="center" wrapText="1"/>
    </xf>
    <xf numFmtId="2" fontId="50" fillId="0" borderId="21" xfId="0" applyNumberFormat="1" applyFont="1" applyBorder="1" applyAlignment="1">
      <alignment horizontal="center" vertical="top" wrapText="1"/>
    </xf>
    <xf numFmtId="0" fontId="50" fillId="0" borderId="21" xfId="0" applyFont="1" applyBorder="1" applyAlignment="1">
      <alignment horizontal="left" vertical="top" wrapText="1"/>
    </xf>
    <xf numFmtId="2" fontId="50" fillId="0" borderId="21" xfId="0" applyNumberFormat="1" applyFont="1" applyBorder="1" applyAlignment="1">
      <alignment horizontal="right" vertical="top" wrapText="1"/>
    </xf>
    <xf numFmtId="2" fontId="11" fillId="6" borderId="21" xfId="0" applyNumberFormat="1" applyFont="1" applyFill="1" applyBorder="1"/>
    <xf numFmtId="0" fontId="11" fillId="6" borderId="21" xfId="0" applyFont="1" applyFill="1" applyBorder="1"/>
    <xf numFmtId="0" fontId="7" fillId="0" borderId="0" xfId="0" applyFont="1" applyFill="1" applyBorder="1" applyAlignment="1">
      <alignment horizontal="center" vertical="top" wrapText="1"/>
    </xf>
    <xf numFmtId="0" fontId="10" fillId="0" borderId="0" xfId="0" applyFont="1" applyBorder="1" applyAlignment="1">
      <alignment horizontal="center" vertical="top"/>
    </xf>
    <xf numFmtId="0" fontId="10" fillId="6" borderId="1" xfId="0" applyFont="1" applyFill="1" applyBorder="1" applyAlignment="1">
      <alignment horizontal="center" vertical="top" wrapText="1"/>
    </xf>
    <xf numFmtId="1" fontId="12" fillId="0" borderId="23" xfId="0" applyNumberFormat="1" applyFont="1" applyFill="1" applyBorder="1" applyAlignment="1">
      <alignment horizontal="center" vertical="top"/>
    </xf>
    <xf numFmtId="0" fontId="12" fillId="0" borderId="21" xfId="0" applyFont="1" applyFill="1" applyBorder="1" applyAlignment="1">
      <alignment horizontal="center" vertical="top"/>
    </xf>
    <xf numFmtId="0" fontId="1" fillId="0" borderId="21" xfId="0" applyFont="1" applyBorder="1" applyAlignment="1">
      <alignment horizontal="center" vertical="top"/>
    </xf>
    <xf numFmtId="0" fontId="9" fillId="0" borderId="0" xfId="0" applyFont="1" applyBorder="1" applyAlignment="1">
      <alignment horizontal="center" vertical="top"/>
    </xf>
    <xf numFmtId="1" fontId="12" fillId="0" borderId="23" xfId="0" applyNumberFormat="1" applyFont="1" applyBorder="1" applyAlignment="1">
      <alignment horizontal="center" vertical="top" wrapText="1"/>
    </xf>
    <xf numFmtId="1" fontId="12" fillId="0" borderId="21" xfId="0" applyNumberFormat="1" applyFont="1" applyBorder="1" applyAlignment="1">
      <alignment horizontal="center" vertical="top" wrapText="1"/>
    </xf>
    <xf numFmtId="1" fontId="8" fillId="0" borderId="21" xfId="0" applyNumberFormat="1" applyFont="1" applyFill="1" applyBorder="1" applyAlignment="1">
      <alignment horizontal="center" vertical="top" wrapText="1"/>
    </xf>
    <xf numFmtId="1" fontId="12" fillId="0" borderId="21" xfId="0" applyNumberFormat="1" applyFont="1" applyFill="1" applyBorder="1" applyAlignment="1">
      <alignment horizontal="center" vertical="top" wrapText="1"/>
    </xf>
    <xf numFmtId="1" fontId="42" fillId="3" borderId="21" xfId="0" applyNumberFormat="1" applyFont="1" applyFill="1" applyBorder="1" applyAlignment="1">
      <alignment horizontal="center" vertical="top" wrapText="1"/>
    </xf>
    <xf numFmtId="1" fontId="57" fillId="0" borderId="30" xfId="2" applyNumberFormat="1" applyFont="1" applyBorder="1" applyAlignment="1">
      <alignment horizontal="center" vertical="top"/>
    </xf>
    <xf numFmtId="2" fontId="46" fillId="6" borderId="21" xfId="0" applyNumberFormat="1" applyFont="1" applyFill="1" applyBorder="1" applyAlignment="1">
      <alignment horizontal="right" vertical="top" wrapText="1"/>
    </xf>
    <xf numFmtId="0" fontId="40" fillId="6" borderId="21" xfId="2" applyFont="1" applyFill="1" applyBorder="1"/>
    <xf numFmtId="2" fontId="40" fillId="6" borderId="21" xfId="2" applyNumberFormat="1" applyFont="1" applyFill="1" applyBorder="1"/>
    <xf numFmtId="0" fontId="57" fillId="0" borderId="20" xfId="2" applyFont="1" applyBorder="1" applyAlignment="1">
      <alignment horizontal="center" vertical="top"/>
    </xf>
    <xf numFmtId="1" fontId="11" fillId="0" borderId="21" xfId="0" applyNumberFormat="1" applyFont="1" applyFill="1" applyBorder="1" applyAlignment="1">
      <alignment horizontal="center" vertical="center"/>
    </xf>
    <xf numFmtId="2" fontId="12" fillId="0" borderId="21" xfId="0" applyNumberFormat="1" applyFont="1" applyFill="1" applyBorder="1" applyAlignment="1">
      <alignment horizontal="left" vertical="center"/>
    </xf>
    <xf numFmtId="2" fontId="11" fillId="6" borderId="25" xfId="0" applyNumberFormat="1" applyFont="1" applyFill="1" applyBorder="1" applyAlignment="1">
      <alignment horizontal="right" vertical="center" wrapText="1"/>
    </xf>
    <xf numFmtId="0" fontId="46" fillId="0" borderId="21" xfId="0" applyFont="1" applyFill="1" applyBorder="1" applyAlignment="1">
      <alignment horizontal="right" wrapText="1"/>
    </xf>
    <xf numFmtId="0" fontId="55" fillId="6" borderId="21" xfId="0" applyFont="1" applyFill="1" applyBorder="1" applyAlignment="1">
      <alignment horizontal="left"/>
    </xf>
    <xf numFmtId="0" fontId="12" fillId="0" borderId="21" xfId="0" applyFont="1" applyBorder="1" applyAlignment="1">
      <alignment horizontal="right"/>
    </xf>
    <xf numFmtId="2" fontId="12" fillId="0" borderId="27" xfId="0" applyNumberFormat="1" applyFont="1" applyFill="1" applyBorder="1" applyAlignment="1">
      <alignment horizontal="right"/>
    </xf>
    <xf numFmtId="2" fontId="11" fillId="6" borderId="24" xfId="0" applyNumberFormat="1" applyFont="1" applyFill="1" applyBorder="1" applyAlignment="1">
      <alignment horizontal="right"/>
    </xf>
    <xf numFmtId="2" fontId="11" fillId="0" borderId="22" xfId="0" applyNumberFormat="1" applyFont="1" applyFill="1" applyBorder="1" applyAlignment="1">
      <alignment horizontal="right"/>
    </xf>
    <xf numFmtId="2" fontId="12" fillId="0" borderId="22" xfId="0" applyNumberFormat="1" applyFont="1" applyFill="1" applyBorder="1" applyAlignment="1">
      <alignment horizontal="center" vertical="center"/>
    </xf>
    <xf numFmtId="164" fontId="11" fillId="6" borderId="21" xfId="0" applyNumberFormat="1" applyFont="1" applyFill="1" applyBorder="1" applyAlignment="1">
      <alignment horizontal="center"/>
    </xf>
    <xf numFmtId="0" fontId="50" fillId="0" borderId="21" xfId="0" applyFont="1" applyFill="1" applyBorder="1" applyAlignment="1">
      <alignment horizontal="center" vertical="top"/>
    </xf>
    <xf numFmtId="2" fontId="50" fillId="0" borderId="21" xfId="0" applyNumberFormat="1" applyFont="1" applyFill="1" applyBorder="1" applyAlignment="1">
      <alignment horizontal="right" vertical="top"/>
    </xf>
    <xf numFmtId="2" fontId="50" fillId="0" borderId="22" xfId="0" applyNumberFormat="1" applyFont="1" applyFill="1" applyBorder="1" applyAlignment="1">
      <alignment horizontal="right" vertical="top"/>
    </xf>
    <xf numFmtId="2" fontId="54" fillId="0" borderId="31" xfId="0" applyNumberFormat="1" applyFont="1" applyFill="1" applyBorder="1" applyAlignment="1">
      <alignment vertical="top"/>
    </xf>
    <xf numFmtId="2" fontId="54" fillId="0" borderId="21" xfId="0" applyNumberFormat="1" applyFont="1" applyFill="1" applyBorder="1" applyAlignment="1">
      <alignment horizontal="center" vertical="top"/>
    </xf>
    <xf numFmtId="2" fontId="12" fillId="0" borderId="22" xfId="0" applyNumberFormat="1" applyFont="1" applyBorder="1" applyAlignment="1">
      <alignment horizontal="right" vertical="center" wrapText="1"/>
    </xf>
    <xf numFmtId="2" fontId="11" fillId="6" borderId="24" xfId="0" applyNumberFormat="1" applyFont="1" applyFill="1" applyBorder="1" applyAlignment="1">
      <alignment horizontal="right" vertical="center" wrapText="1"/>
    </xf>
    <xf numFmtId="2" fontId="38" fillId="6" borderId="24" xfId="0" applyNumberFormat="1" applyFont="1" applyFill="1" applyBorder="1" applyAlignment="1">
      <alignment horizontal="right" vertical="center" wrapText="1"/>
    </xf>
    <xf numFmtId="2" fontId="9" fillId="0" borderId="22" xfId="0" applyNumberFormat="1" applyFont="1" applyFill="1" applyBorder="1" applyAlignment="1">
      <alignment horizontal="right" vertical="top" wrapText="1"/>
    </xf>
    <xf numFmtId="2" fontId="10" fillId="6" borderId="32" xfId="0" applyNumberFormat="1" applyFont="1" applyFill="1" applyBorder="1" applyAlignment="1">
      <alignment horizontal="right" vertical="center" wrapText="1"/>
    </xf>
    <xf numFmtId="0" fontId="50" fillId="0" borderId="24" xfId="0" applyFont="1" applyBorder="1" applyAlignment="1">
      <alignment horizontal="right"/>
    </xf>
    <xf numFmtId="2" fontId="38" fillId="6" borderId="21" xfId="0" applyNumberFormat="1" applyFont="1" applyFill="1" applyBorder="1" applyAlignment="1">
      <alignment horizontal="right"/>
    </xf>
    <xf numFmtId="2" fontId="38" fillId="6" borderId="24" xfId="0" applyNumberFormat="1" applyFont="1" applyFill="1" applyBorder="1" applyAlignment="1">
      <alignment horizontal="right" vertical="center"/>
    </xf>
    <xf numFmtId="0" fontId="12" fillId="0" borderId="22" xfId="0" applyFont="1" applyBorder="1" applyAlignment="1">
      <alignment horizontal="center" vertical="top"/>
    </xf>
    <xf numFmtId="0" fontId="12" fillId="0" borderId="22" xfId="0" applyFont="1" applyBorder="1" applyAlignment="1">
      <alignment horizontal="justify" vertical="top"/>
    </xf>
    <xf numFmtId="1" fontId="12" fillId="0" borderId="22" xfId="0" applyNumberFormat="1" applyFont="1" applyFill="1" applyBorder="1" applyAlignment="1">
      <alignment horizontal="center"/>
    </xf>
    <xf numFmtId="2" fontId="12" fillId="0" borderId="22" xfId="0" applyNumberFormat="1" applyFont="1" applyFill="1" applyBorder="1" applyAlignment="1">
      <alignment horizontal="center"/>
    </xf>
    <xf numFmtId="2" fontId="11" fillId="0" borderId="22" xfId="0" applyNumberFormat="1" applyFont="1" applyFill="1" applyBorder="1" applyAlignment="1">
      <alignment horizontal="center"/>
    </xf>
    <xf numFmtId="2" fontId="6" fillId="6" borderId="29" xfId="0" applyNumberFormat="1" applyFont="1" applyFill="1" applyBorder="1" applyAlignment="1">
      <alignment horizontal="right"/>
    </xf>
    <xf numFmtId="0" fontId="1" fillId="0" borderId="0" xfId="0" applyFont="1" applyBorder="1" applyAlignment="1">
      <alignment horizontal="center" vertical="top"/>
    </xf>
    <xf numFmtId="0" fontId="1" fillId="0" borderId="0" xfId="0" applyFont="1" applyBorder="1" applyAlignment="1">
      <alignment horizontal="center" vertical="center"/>
    </xf>
    <xf numFmtId="0" fontId="1" fillId="0" borderId="0" xfId="0" applyFont="1" applyBorder="1" applyAlignment="1">
      <alignment horizontal="left"/>
    </xf>
    <xf numFmtId="0" fontId="0" fillId="0" borderId="0" xfId="0" applyBorder="1" applyAlignment="1">
      <alignment horizontal="center" vertical="center"/>
    </xf>
    <xf numFmtId="0" fontId="0" fillId="0" borderId="0" xfId="0" applyBorder="1" applyAlignment="1">
      <alignment horizontal="left"/>
    </xf>
    <xf numFmtId="0" fontId="0" fillId="0" borderId="0" xfId="0" applyBorder="1" applyAlignment="1">
      <alignment vertical="center"/>
    </xf>
    <xf numFmtId="0" fontId="0" fillId="0" borderId="35" xfId="0" applyBorder="1"/>
    <xf numFmtId="2" fontId="0" fillId="0" borderId="0" xfId="0" applyNumberFormat="1" applyBorder="1"/>
    <xf numFmtId="2" fontId="12" fillId="0" borderId="23" xfId="0" applyNumberFormat="1" applyFont="1" applyBorder="1" applyAlignment="1">
      <alignment horizontal="center" vertical="top" wrapText="1"/>
    </xf>
    <xf numFmtId="2" fontId="12" fillId="0" borderId="21" xfId="0" applyNumberFormat="1" applyFont="1" applyBorder="1" applyAlignment="1">
      <alignment horizontal="center" vertical="center"/>
    </xf>
    <xf numFmtId="2" fontId="12" fillId="0" borderId="22" xfId="0" applyNumberFormat="1" applyFont="1" applyFill="1" applyBorder="1" applyAlignment="1">
      <alignment horizontal="right" vertical="center" wrapText="1"/>
    </xf>
    <xf numFmtId="2" fontId="46" fillId="0" borderId="24" xfId="0" applyNumberFormat="1" applyFont="1" applyBorder="1" applyAlignment="1">
      <alignment horizontal="right"/>
    </xf>
    <xf numFmtId="0" fontId="0" fillId="0" borderId="21" xfId="0" applyBorder="1" applyAlignment="1">
      <alignment horizontal="center"/>
    </xf>
    <xf numFmtId="2" fontId="0" fillId="0" borderId="21" xfId="0" applyNumberFormat="1" applyBorder="1" applyAlignment="1">
      <alignment horizontal="right"/>
    </xf>
    <xf numFmtId="2" fontId="0" fillId="0" borderId="21" xfId="0" applyNumberFormat="1" applyBorder="1" applyAlignment="1">
      <alignment horizontal="center"/>
    </xf>
    <xf numFmtId="0" fontId="49" fillId="0" borderId="21" xfId="0" applyFont="1" applyBorder="1"/>
    <xf numFmtId="2" fontId="0" fillId="0" borderId="21" xfId="0" applyNumberFormat="1" applyFill="1" applyBorder="1"/>
    <xf numFmtId="0" fontId="0" fillId="0" borderId="21" xfId="0" applyBorder="1" applyAlignment="1">
      <alignment wrapText="1"/>
    </xf>
    <xf numFmtId="0" fontId="0" fillId="0" borderId="21" xfId="0" applyFill="1" applyBorder="1" applyAlignment="1">
      <alignment horizontal="right"/>
    </xf>
    <xf numFmtId="0" fontId="0" fillId="0" borderId="21" xfId="0" applyFill="1" applyBorder="1"/>
    <xf numFmtId="0" fontId="49" fillId="0" borderId="21" xfId="0" applyFont="1" applyFill="1" applyBorder="1" applyAlignment="1">
      <alignment horizontal="left"/>
    </xf>
    <xf numFmtId="0" fontId="49" fillId="0" borderId="21" xfId="0" applyFont="1" applyFill="1" applyBorder="1" applyAlignment="1">
      <alignment horizontal="left" wrapText="1"/>
    </xf>
    <xf numFmtId="0" fontId="42" fillId="3" borderId="20" xfId="0" applyFont="1" applyFill="1" applyBorder="1" applyAlignment="1">
      <alignment horizontal="center" vertical="top" wrapText="1"/>
    </xf>
    <xf numFmtId="0" fontId="49" fillId="0" borderId="0" xfId="0" applyFont="1" applyBorder="1"/>
    <xf numFmtId="2" fontId="0" fillId="0" borderId="0" xfId="0" applyNumberFormat="1" applyFill="1" applyBorder="1"/>
    <xf numFmtId="2" fontId="49" fillId="6" borderId="21" xfId="0" applyNumberFormat="1" applyFont="1" applyFill="1" applyBorder="1" applyAlignment="1">
      <alignment horizontal="center"/>
    </xf>
    <xf numFmtId="2" fontId="38" fillId="6" borderId="21" xfId="0" applyNumberFormat="1" applyFont="1" applyFill="1" applyBorder="1" applyAlignment="1">
      <alignment horizontal="right" vertical="top" wrapText="1"/>
    </xf>
    <xf numFmtId="2" fontId="0" fillId="0" borderId="21" xfId="0" applyNumberFormat="1" applyBorder="1" applyAlignment="1">
      <alignment horizontal="center" vertical="top" wrapText="1"/>
    </xf>
    <xf numFmtId="0" fontId="8" fillId="0" borderId="0" xfId="0" applyFont="1" applyBorder="1" applyAlignment="1">
      <alignment horizontal="center" vertical="top" wrapText="1"/>
    </xf>
    <xf numFmtId="0" fontId="50" fillId="0" borderId="21" xfId="0" applyFont="1" applyBorder="1" applyAlignment="1">
      <alignment horizontal="center" vertical="top"/>
    </xf>
    <xf numFmtId="0" fontId="9" fillId="0" borderId="0" xfId="0" applyFont="1" applyFill="1" applyBorder="1" applyAlignment="1">
      <alignment horizontal="center" vertical="top"/>
    </xf>
    <xf numFmtId="0" fontId="11" fillId="0" borderId="21" xfId="0" applyFont="1" applyFill="1" applyBorder="1" applyAlignment="1">
      <alignment horizontal="center" vertical="top" wrapText="1"/>
    </xf>
    <xf numFmtId="0" fontId="0" fillId="0" borderId="21" xfId="0" applyBorder="1" applyAlignment="1">
      <alignment horizontal="center" vertical="top" wrapText="1"/>
    </xf>
    <xf numFmtId="0" fontId="61" fillId="0" borderId="21" xfId="0" applyNumberFormat="1" applyFont="1" applyFill="1" applyBorder="1" applyAlignment="1">
      <alignment horizontal="center" vertical="top" wrapText="1"/>
    </xf>
    <xf numFmtId="0" fontId="0" fillId="0" borderId="0" xfId="0" applyBorder="1" applyAlignment="1">
      <alignment horizontal="center" vertical="top"/>
    </xf>
    <xf numFmtId="2" fontId="12" fillId="0" borderId="21" xfId="0" applyNumberFormat="1" applyFont="1" applyBorder="1" applyAlignment="1">
      <alignment horizontal="center" vertical="top" wrapText="1"/>
    </xf>
    <xf numFmtId="0" fontId="0" fillId="0" borderId="0" xfId="0" applyBorder="1" applyAlignment="1">
      <alignment vertical="top" wrapText="1"/>
    </xf>
    <xf numFmtId="0" fontId="0" fillId="0" borderId="0" xfId="0" applyAlignment="1">
      <alignment vertical="top" wrapText="1"/>
    </xf>
    <xf numFmtId="0" fontId="2" fillId="0" borderId="0" xfId="0" applyFont="1" applyAlignment="1">
      <alignment vertical="top" wrapText="1"/>
    </xf>
    <xf numFmtId="0" fontId="2" fillId="0" borderId="0" xfId="0" applyFont="1" applyAlignment="1">
      <alignment vertical="top"/>
    </xf>
    <xf numFmtId="0" fontId="0" fillId="0" borderId="0" xfId="0" applyAlignment="1">
      <alignment vertical="top"/>
    </xf>
    <xf numFmtId="0" fontId="2" fillId="0" borderId="0" xfId="0" applyFont="1" applyAlignment="1">
      <alignment horizontal="justify" vertical="top" wrapText="1"/>
    </xf>
    <xf numFmtId="0" fontId="0" fillId="0" borderId="0" xfId="0" applyAlignment="1">
      <alignment horizontal="justify" vertical="top"/>
    </xf>
    <xf numFmtId="0" fontId="18" fillId="0" borderId="0" xfId="0" applyFont="1" applyAlignment="1">
      <alignment horizontal="center" vertical="top" wrapText="1"/>
    </xf>
    <xf numFmtId="0" fontId="16" fillId="0" borderId="0" xfId="0" applyFont="1" applyAlignment="1">
      <alignment vertical="top" wrapText="1"/>
    </xf>
    <xf numFmtId="0" fontId="1" fillId="0" borderId="0" xfId="0" applyFont="1" applyAlignment="1">
      <alignment horizontal="center" vertical="top"/>
    </xf>
    <xf numFmtId="0" fontId="1" fillId="0" borderId="0" xfId="0" applyFont="1" applyAlignment="1">
      <alignment vertical="top"/>
    </xf>
    <xf numFmtId="0" fontId="6" fillId="0" borderId="0" xfId="0" applyFont="1" applyAlignment="1">
      <alignment vertical="top" wrapText="1"/>
    </xf>
    <xf numFmtId="0" fontId="1" fillId="0" borderId="10" xfId="0" applyFont="1" applyBorder="1" applyAlignment="1">
      <alignment horizontal="justify" vertical="top" wrapText="1"/>
    </xf>
    <xf numFmtId="0" fontId="0" fillId="0" borderId="10" xfId="0" applyBorder="1" applyAlignment="1">
      <alignment horizontal="justify"/>
    </xf>
    <xf numFmtId="0" fontId="4" fillId="0" borderId="0" xfId="0" applyFont="1" applyAlignment="1">
      <alignment horizontal="center"/>
    </xf>
    <xf numFmtId="0" fontId="1" fillId="0" borderId="0" xfId="0" applyFont="1" applyAlignment="1">
      <alignment horizontal="justify" vertical="center" wrapText="1"/>
    </xf>
    <xf numFmtId="0" fontId="5" fillId="0" borderId="0" xfId="0" applyFont="1" applyAlignment="1">
      <alignment horizontal="justify" vertical="center" wrapText="1"/>
    </xf>
    <xf numFmtId="0" fontId="2" fillId="0" borderId="0" xfId="0" applyFont="1" applyAlignment="1">
      <alignment horizontal="center"/>
    </xf>
    <xf numFmtId="0" fontId="0" fillId="0" borderId="0" xfId="0" applyAlignment="1"/>
    <xf numFmtId="0" fontId="5" fillId="0" borderId="0" xfId="0" applyFont="1" applyAlignment="1">
      <alignment horizontal="center"/>
    </xf>
    <xf numFmtId="0" fontId="3" fillId="0" borderId="0" xfId="0" applyFont="1" applyAlignment="1">
      <alignment vertical="top" wrapText="1" shrinkToFit="1"/>
    </xf>
    <xf numFmtId="0" fontId="0" fillId="0" borderId="0" xfId="0" applyAlignment="1">
      <alignment horizontal="justify" vertical="top" wrapText="1"/>
    </xf>
    <xf numFmtId="0" fontId="23" fillId="0" borderId="0" xfId="0" applyFont="1" applyAlignment="1">
      <alignment vertical="top" wrapText="1"/>
    </xf>
    <xf numFmtId="0" fontId="1" fillId="0" borderId="0" xfId="0" applyFont="1" applyAlignment="1">
      <alignment horizontal="justify" vertical="top" wrapText="1"/>
    </xf>
    <xf numFmtId="0" fontId="5" fillId="0" borderId="0" xfId="0" applyFont="1" applyAlignment="1">
      <alignment horizontal="justify" vertical="top" wrapText="1"/>
    </xf>
    <xf numFmtId="0" fontId="2" fillId="0" borderId="0" xfId="0" applyFont="1" applyAlignment="1">
      <alignment horizontal="center" vertical="top" wrapText="1"/>
    </xf>
    <xf numFmtId="0" fontId="1" fillId="0" borderId="0" xfId="0" applyFont="1" applyAlignment="1">
      <alignment vertical="top" wrapText="1"/>
    </xf>
    <xf numFmtId="0" fontId="1" fillId="0" borderId="0" xfId="0" applyFont="1" applyAlignment="1">
      <alignment vertical="top" wrapText="1" shrinkToFit="1"/>
    </xf>
    <xf numFmtId="0" fontId="25" fillId="0" borderId="0" xfId="0" applyFont="1" applyAlignment="1">
      <alignment horizontal="justify" vertical="top" wrapText="1"/>
    </xf>
    <xf numFmtId="0" fontId="30" fillId="0" borderId="0" xfId="0" applyFont="1" applyAlignment="1">
      <alignment horizontal="right" vertical="center" wrapText="1"/>
    </xf>
    <xf numFmtId="0" fontId="29" fillId="0" borderId="0" xfId="0" applyFont="1" applyAlignment="1">
      <alignment horizontal="right" vertical="center" wrapText="1"/>
    </xf>
    <xf numFmtId="0" fontId="25" fillId="0" borderId="0" xfId="0" applyFont="1" applyAlignment="1">
      <alignment horizontal="left" vertical="center" wrapText="1"/>
    </xf>
    <xf numFmtId="0" fontId="31" fillId="0" borderId="0" xfId="0" applyFont="1" applyAlignment="1">
      <alignment horizontal="right" vertical="center" wrapText="1"/>
    </xf>
    <xf numFmtId="0" fontId="27" fillId="0" borderId="0" xfId="0" applyFont="1" applyAlignment="1">
      <alignment horizontal="center" vertical="top" wrapText="1"/>
    </xf>
    <xf numFmtId="0" fontId="28" fillId="0" borderId="0" xfId="0" applyFont="1" applyAlignment="1">
      <alignment horizontal="center" vertical="top" wrapText="1"/>
    </xf>
    <xf numFmtId="0" fontId="25" fillId="0" borderId="0" xfId="0" applyFont="1" applyAlignment="1">
      <alignment horizontal="center" vertical="top" wrapText="1"/>
    </xf>
    <xf numFmtId="0" fontId="30" fillId="0" borderId="0" xfId="0" applyFont="1" applyAlignment="1">
      <alignment horizontal="center" vertical="top" wrapText="1"/>
    </xf>
    <xf numFmtId="0" fontId="29" fillId="0" borderId="0" xfId="0" applyFont="1" applyAlignment="1">
      <alignment vertical="top" wrapText="1"/>
    </xf>
    <xf numFmtId="0" fontId="30" fillId="0" borderId="0" xfId="0" applyFont="1" applyAlignment="1">
      <alignment horizontal="left" vertical="top" wrapText="1"/>
    </xf>
    <xf numFmtId="0" fontId="29" fillId="0" borderId="0" xfId="0" applyFont="1" applyAlignment="1">
      <alignment horizontal="left" vertical="top" wrapText="1"/>
    </xf>
    <xf numFmtId="0" fontId="3" fillId="0" borderId="0" xfId="0" applyFont="1" applyAlignment="1">
      <alignment vertical="top" wrapText="1"/>
    </xf>
    <xf numFmtId="0" fontId="3" fillId="0" borderId="0" xfId="0" applyFont="1" applyAlignment="1"/>
    <xf numFmtId="0" fontId="15" fillId="0" borderId="0" xfId="0" applyFont="1" applyAlignment="1">
      <alignment horizontal="center"/>
    </xf>
    <xf numFmtId="0" fontId="16" fillId="0" borderId="0" xfId="0" applyFont="1" applyAlignment="1">
      <alignment horizontal="center"/>
    </xf>
    <xf numFmtId="0" fontId="17" fillId="0" borderId="0" xfId="0" applyFont="1" applyAlignment="1">
      <alignment horizontal="center"/>
    </xf>
    <xf numFmtId="0" fontId="19" fillId="0" borderId="0" xfId="0" applyFont="1" applyAlignment="1">
      <alignment vertical="top" wrapText="1"/>
    </xf>
    <xf numFmtId="0" fontId="12" fillId="0" borderId="4" xfId="0" applyNumberFormat="1" applyFont="1" applyFill="1" applyBorder="1" applyAlignment="1">
      <alignment horizontal="right" vertical="top" wrapText="1"/>
    </xf>
    <xf numFmtId="0" fontId="11" fillId="0" borderId="8" xfId="0" applyNumberFormat="1" applyFont="1" applyFill="1" applyBorder="1" applyAlignment="1">
      <alignment horizontal="right" vertical="top" wrapText="1"/>
    </xf>
    <xf numFmtId="0" fontId="11" fillId="0" borderId="7" xfId="0" applyNumberFormat="1" applyFont="1" applyFill="1" applyBorder="1" applyAlignment="1">
      <alignment horizontal="right" vertical="top" wrapText="1"/>
    </xf>
    <xf numFmtId="0" fontId="11" fillId="0" borderId="6" xfId="0" applyNumberFormat="1" applyFont="1" applyFill="1" applyBorder="1" applyAlignment="1">
      <alignment horizontal="right" vertical="top" wrapText="1"/>
    </xf>
    <xf numFmtId="2" fontId="11" fillId="0" borderId="1" xfId="0" applyNumberFormat="1" applyFont="1" applyFill="1" applyBorder="1" applyAlignment="1">
      <alignment horizontal="right" vertical="center" wrapText="1"/>
    </xf>
    <xf numFmtId="0" fontId="6" fillId="0" borderId="1" xfId="0" applyFont="1" applyBorder="1" applyAlignment="1">
      <alignment horizontal="right" vertical="center" wrapText="1"/>
    </xf>
    <xf numFmtId="0" fontId="11" fillId="0" borderId="9" xfId="0" applyNumberFormat="1" applyFont="1" applyFill="1" applyBorder="1" applyAlignment="1">
      <alignment horizontal="right" vertical="top" wrapText="1"/>
    </xf>
    <xf numFmtId="0" fontId="6" fillId="0" borderId="0" xfId="0" applyFont="1" applyAlignment="1">
      <alignment wrapText="1"/>
    </xf>
    <xf numFmtId="0" fontId="6" fillId="0" borderId="0" xfId="0" applyFont="1" applyBorder="1" applyAlignment="1">
      <alignment wrapText="1"/>
    </xf>
    <xf numFmtId="0" fontId="3" fillId="0" borderId="12" xfId="0" applyFont="1" applyBorder="1" applyAlignment="1">
      <alignment wrapText="1"/>
    </xf>
    <xf numFmtId="0" fontId="6" fillId="0" borderId="5" xfId="0" applyFont="1" applyBorder="1" applyAlignment="1">
      <alignment horizontal="right" vertical="center" wrapText="1"/>
    </xf>
    <xf numFmtId="0" fontId="11" fillId="0" borderId="13" xfId="0" applyFont="1" applyBorder="1" applyAlignment="1">
      <alignment horizontal="right" vertical="center" wrapText="1"/>
    </xf>
    <xf numFmtId="2" fontId="11" fillId="0" borderId="1" xfId="0" applyNumberFormat="1" applyFont="1" applyFill="1" applyBorder="1" applyAlignment="1">
      <alignment horizontal="right"/>
    </xf>
    <xf numFmtId="0" fontId="6" fillId="0" borderId="0" xfId="0" applyFont="1" applyBorder="1" applyAlignment="1">
      <alignment horizontal="right" vertical="center" wrapText="1"/>
    </xf>
    <xf numFmtId="0" fontId="6" fillId="0" borderId="12" xfId="0" applyFont="1" applyBorder="1" applyAlignment="1">
      <alignment horizontal="right" vertical="center" wrapText="1"/>
    </xf>
    <xf numFmtId="0" fontId="2" fillId="0" borderId="0" xfId="0" applyFont="1" applyAlignment="1">
      <alignment horizontal="center" vertical="center" wrapText="1"/>
    </xf>
    <xf numFmtId="0" fontId="0" fillId="0" borderId="0" xfId="0" applyAlignment="1">
      <alignment horizontal="center" wrapText="1"/>
    </xf>
    <xf numFmtId="2" fontId="11" fillId="0" borderId="9" xfId="0" applyNumberFormat="1" applyFont="1" applyFill="1" applyBorder="1" applyAlignment="1">
      <alignment horizontal="right" vertical="center" wrapText="1"/>
    </xf>
    <xf numFmtId="2" fontId="11" fillId="0" borderId="2" xfId="0" applyNumberFormat="1" applyFont="1" applyFill="1" applyBorder="1" applyAlignment="1">
      <alignment horizontal="right"/>
    </xf>
    <xf numFmtId="2" fontId="11" fillId="0" borderId="3" xfId="0" applyNumberFormat="1" applyFont="1" applyFill="1" applyBorder="1" applyAlignment="1">
      <alignment horizontal="right"/>
    </xf>
    <xf numFmtId="1" fontId="12" fillId="0" borderId="9" xfId="0" applyNumberFormat="1" applyFont="1" applyFill="1" applyBorder="1" applyAlignment="1">
      <alignment horizontal="center" vertical="center" wrapText="1"/>
    </xf>
    <xf numFmtId="1" fontId="12" fillId="0" borderId="0" xfId="0" applyNumberFormat="1" applyFont="1" applyFill="1" applyBorder="1" applyAlignment="1">
      <alignment horizontal="center" vertical="center" wrapText="1"/>
    </xf>
    <xf numFmtId="1" fontId="12" fillId="0" borderId="12" xfId="0" applyNumberFormat="1" applyFont="1" applyFill="1" applyBorder="1" applyAlignment="1">
      <alignment horizontal="center" vertical="center" wrapText="1"/>
    </xf>
    <xf numFmtId="1" fontId="12" fillId="0" borderId="8" xfId="0" applyNumberFormat="1" applyFont="1" applyFill="1" applyBorder="1" applyAlignment="1">
      <alignment horizontal="center" vertical="center"/>
    </xf>
    <xf numFmtId="1" fontId="12" fillId="0" borderId="7" xfId="0" applyNumberFormat="1" applyFont="1" applyFill="1" applyBorder="1" applyAlignment="1">
      <alignment horizontal="center" vertical="center"/>
    </xf>
    <xf numFmtId="1" fontId="12" fillId="0" borderId="6" xfId="0" applyNumberFormat="1" applyFont="1" applyFill="1" applyBorder="1" applyAlignment="1">
      <alignment horizontal="center" vertical="center"/>
    </xf>
    <xf numFmtId="0" fontId="11" fillId="0" borderId="1" xfId="0" applyNumberFormat="1" applyFont="1" applyFill="1" applyBorder="1" applyAlignment="1">
      <alignment horizontal="center" vertical="top" wrapText="1"/>
    </xf>
    <xf numFmtId="0" fontId="11" fillId="0" borderId="3" xfId="0" applyNumberFormat="1" applyFont="1" applyFill="1" applyBorder="1" applyAlignment="1">
      <alignment horizontal="right" vertical="top" wrapText="1"/>
    </xf>
    <xf numFmtId="0" fontId="11" fillId="0" borderId="1" xfId="0" applyNumberFormat="1" applyFont="1" applyFill="1" applyBorder="1" applyAlignment="1">
      <alignment horizontal="right" vertical="top" wrapText="1"/>
    </xf>
    <xf numFmtId="2" fontId="3" fillId="0" borderId="2" xfId="0" applyNumberFormat="1" applyFont="1" applyFill="1" applyBorder="1" applyAlignment="1">
      <alignment horizontal="center" vertical="center" wrapText="1"/>
    </xf>
    <xf numFmtId="0" fontId="3" fillId="0" borderId="11" xfId="0" applyFont="1" applyFill="1" applyBorder="1" applyAlignment="1">
      <alignment horizontal="center" vertical="center" wrapText="1"/>
    </xf>
    <xf numFmtId="0" fontId="3" fillId="0" borderId="3" xfId="0" applyFont="1" applyFill="1" applyBorder="1" applyAlignment="1">
      <alignment horizontal="center" vertical="center" wrapText="1"/>
    </xf>
    <xf numFmtId="2" fontId="11" fillId="0" borderId="11" xfId="0" applyNumberFormat="1" applyFont="1" applyFill="1" applyBorder="1" applyAlignment="1">
      <alignment horizontal="right"/>
    </xf>
    <xf numFmtId="1" fontId="12" fillId="2" borderId="8" xfId="0" applyNumberFormat="1" applyFont="1" applyFill="1" applyBorder="1" applyAlignment="1">
      <alignment horizontal="center" vertical="center" wrapText="1"/>
    </xf>
    <xf numFmtId="0" fontId="3" fillId="2" borderId="7" xfId="0" applyFont="1" applyFill="1" applyBorder="1" applyAlignment="1">
      <alignment horizontal="center" vertical="center" wrapText="1"/>
    </xf>
    <xf numFmtId="0" fontId="3" fillId="2" borderId="3" xfId="0" applyFont="1" applyFill="1" applyBorder="1" applyAlignment="1">
      <alignment horizontal="center" vertical="center" wrapText="1"/>
    </xf>
    <xf numFmtId="9" fontId="11" fillId="0" borderId="9" xfId="0" applyNumberFormat="1" applyFont="1" applyFill="1" applyBorder="1" applyAlignment="1">
      <alignment horizontal="right" vertical="top" wrapText="1"/>
    </xf>
    <xf numFmtId="0" fontId="3" fillId="0" borderId="0" xfId="0" applyFont="1" applyAlignment="1">
      <alignment horizontal="right" wrapText="1"/>
    </xf>
    <xf numFmtId="0" fontId="3" fillId="0" borderId="12" xfId="0" applyFont="1" applyBorder="1" applyAlignment="1">
      <alignment horizontal="right" wrapText="1"/>
    </xf>
    <xf numFmtId="2" fontId="11" fillId="0" borderId="8" xfId="0" applyNumberFormat="1" applyFont="1" applyFill="1" applyBorder="1" applyAlignment="1">
      <alignment horizontal="right" vertical="center" wrapText="1"/>
    </xf>
    <xf numFmtId="0" fontId="6" fillId="0" borderId="6" xfId="0" applyFont="1" applyBorder="1" applyAlignment="1">
      <alignment horizontal="right" vertical="center" wrapText="1"/>
    </xf>
    <xf numFmtId="0" fontId="2" fillId="0" borderId="0" xfId="0" applyFont="1" applyAlignment="1">
      <alignment horizontal="center" wrapText="1"/>
    </xf>
    <xf numFmtId="2" fontId="12" fillId="0" borderId="9" xfId="0" applyNumberFormat="1" applyFont="1" applyFill="1" applyBorder="1" applyAlignment="1">
      <alignment horizontal="right" vertical="center" wrapText="1"/>
    </xf>
    <xf numFmtId="0" fontId="12" fillId="0" borderId="12" xfId="0" applyFont="1" applyBorder="1" applyAlignment="1">
      <alignment horizontal="right" vertical="center" wrapText="1"/>
    </xf>
    <xf numFmtId="0" fontId="11" fillId="0" borderId="2" xfId="0" applyFont="1" applyBorder="1" applyAlignment="1">
      <alignment horizontal="right" vertical="center" wrapText="1"/>
    </xf>
    <xf numFmtId="0" fontId="11" fillId="0" borderId="3" xfId="0" applyFont="1" applyBorder="1" applyAlignment="1">
      <alignment horizontal="right" vertical="center" wrapText="1"/>
    </xf>
    <xf numFmtId="2" fontId="11" fillId="0" borderId="15" xfId="0" applyNumberFormat="1" applyFont="1" applyFill="1" applyBorder="1" applyAlignment="1">
      <alignment horizontal="right" vertical="center" wrapText="1"/>
    </xf>
    <xf numFmtId="0" fontId="6" fillId="0" borderId="16" xfId="0" applyFont="1" applyFill="1" applyBorder="1" applyAlignment="1">
      <alignment horizontal="right" vertical="center" wrapText="1"/>
    </xf>
    <xf numFmtId="2" fontId="9" fillId="0" borderId="9" xfId="0" applyNumberFormat="1" applyFont="1" applyFill="1" applyBorder="1" applyAlignment="1">
      <alignment horizontal="right"/>
    </xf>
    <xf numFmtId="2" fontId="9" fillId="0" borderId="0" xfId="0" applyNumberFormat="1" applyFont="1" applyFill="1" applyBorder="1" applyAlignment="1">
      <alignment horizontal="right"/>
    </xf>
    <xf numFmtId="2" fontId="9" fillId="0" borderId="12" xfId="0" applyNumberFormat="1" applyFont="1" applyFill="1" applyBorder="1" applyAlignment="1">
      <alignment horizontal="right"/>
    </xf>
    <xf numFmtId="2" fontId="11" fillId="0" borderId="2" xfId="0" applyNumberFormat="1" applyFont="1" applyFill="1" applyBorder="1" applyAlignment="1">
      <alignment horizontal="right" vertical="center"/>
    </xf>
    <xf numFmtId="2" fontId="11" fillId="0" borderId="11" xfId="0" applyNumberFormat="1" applyFont="1" applyFill="1" applyBorder="1" applyAlignment="1">
      <alignment horizontal="right" vertical="center"/>
    </xf>
    <xf numFmtId="2" fontId="11" fillId="0" borderId="3" xfId="0" applyNumberFormat="1" applyFont="1" applyFill="1" applyBorder="1" applyAlignment="1">
      <alignment horizontal="right" vertical="center"/>
    </xf>
    <xf numFmtId="0" fontId="11" fillId="0" borderId="11" xfId="0" applyFont="1" applyBorder="1" applyAlignment="1">
      <alignment horizontal="right" vertical="center" wrapText="1"/>
    </xf>
    <xf numFmtId="0" fontId="7" fillId="0" borderId="0" xfId="0" applyFont="1" applyFill="1" applyAlignment="1">
      <alignment horizontal="center" wrapText="1"/>
    </xf>
    <xf numFmtId="0" fontId="8" fillId="0" borderId="0" xfId="0" applyFont="1" applyAlignment="1">
      <alignment horizontal="center" wrapText="1"/>
    </xf>
    <xf numFmtId="0" fontId="11" fillId="0" borderId="0" xfId="0" applyFont="1" applyBorder="1" applyAlignment="1">
      <alignment horizontal="right" vertical="top" wrapText="1"/>
    </xf>
    <xf numFmtId="0" fontId="12" fillId="0" borderId="0" xfId="0" applyFont="1" applyBorder="1" applyAlignment="1">
      <alignment horizontal="right" vertical="top" wrapText="1"/>
    </xf>
    <xf numFmtId="0" fontId="12" fillId="0" borderId="0" xfId="0" applyFont="1" applyBorder="1" applyAlignment="1">
      <alignment horizontal="left" vertical="top" wrapText="1"/>
    </xf>
    <xf numFmtId="0" fontId="12" fillId="0" borderId="4" xfId="0" applyFont="1" applyBorder="1" applyAlignment="1">
      <alignment horizontal="right" vertical="center" wrapText="1"/>
    </xf>
    <xf numFmtId="0" fontId="12" fillId="0" borderId="13" xfId="0" applyFont="1" applyBorder="1" applyAlignment="1">
      <alignment horizontal="center" vertical="top"/>
    </xf>
    <xf numFmtId="0" fontId="12" fillId="0" borderId="4" xfId="0" applyFont="1" applyBorder="1" applyAlignment="1">
      <alignment horizontal="center" vertical="top"/>
    </xf>
    <xf numFmtId="0" fontId="12" fillId="0" borderId="5" xfId="0" applyFont="1" applyBorder="1" applyAlignment="1">
      <alignment horizontal="center" vertical="top"/>
    </xf>
    <xf numFmtId="2" fontId="11" fillId="0" borderId="14" xfId="0" applyNumberFormat="1" applyFont="1" applyFill="1" applyBorder="1" applyAlignment="1">
      <alignment horizontal="right" vertical="center" wrapText="1"/>
    </xf>
    <xf numFmtId="2" fontId="11" fillId="0" borderId="9" xfId="0" applyNumberFormat="1" applyFont="1" applyFill="1" applyBorder="1" applyAlignment="1">
      <alignment horizontal="right"/>
    </xf>
    <xf numFmtId="2" fontId="11" fillId="0" borderId="12" xfId="0" applyNumberFormat="1" applyFont="1" applyFill="1" applyBorder="1" applyAlignment="1">
      <alignment horizontal="right"/>
    </xf>
    <xf numFmtId="2" fontId="11" fillId="0" borderId="8" xfId="0" applyNumberFormat="1" applyFont="1" applyFill="1" applyBorder="1" applyAlignment="1">
      <alignment horizontal="right"/>
    </xf>
    <xf numFmtId="2" fontId="11" fillId="0" borderId="6" xfId="0" applyNumberFormat="1" applyFont="1" applyFill="1" applyBorder="1" applyAlignment="1">
      <alignment horizontal="right"/>
    </xf>
    <xf numFmtId="0" fontId="12" fillId="0" borderId="4" xfId="0" applyFont="1" applyFill="1" applyBorder="1" applyAlignment="1">
      <alignment horizontal="center" vertical="top" wrapText="1"/>
    </xf>
    <xf numFmtId="0" fontId="11" fillId="0" borderId="1" xfId="0" applyFont="1" applyBorder="1" applyAlignment="1">
      <alignment horizontal="right" vertical="center" wrapText="1"/>
    </xf>
    <xf numFmtId="0" fontId="11" fillId="0" borderId="1" xfId="0" applyFont="1" applyFill="1" applyBorder="1" applyAlignment="1">
      <alignment horizontal="right" vertical="center" wrapText="1"/>
    </xf>
    <xf numFmtId="0" fontId="6" fillId="0" borderId="7" xfId="0" applyFont="1" applyBorder="1" applyAlignment="1">
      <alignment horizontal="center"/>
    </xf>
    <xf numFmtId="0" fontId="12" fillId="0" borderId="9" xfId="0" applyNumberFormat="1" applyFont="1" applyFill="1" applyBorder="1" applyAlignment="1">
      <alignment horizontal="right" vertical="top" wrapText="1"/>
    </xf>
    <xf numFmtId="0" fontId="3" fillId="0" borderId="0" xfId="0" applyFont="1" applyAlignment="1">
      <alignment wrapText="1"/>
    </xf>
    <xf numFmtId="0" fontId="3" fillId="0" borderId="0" xfId="0" applyFont="1" applyFill="1" applyBorder="1" applyAlignment="1">
      <alignment horizontal="center" vertical="center" wrapText="1"/>
    </xf>
    <xf numFmtId="0" fontId="11" fillId="0" borderId="6" xfId="0" applyFont="1" applyBorder="1" applyAlignment="1">
      <alignment horizontal="right" vertical="center" wrapText="1"/>
    </xf>
    <xf numFmtId="1" fontId="12" fillId="0" borderId="8" xfId="0" applyNumberFormat="1" applyFont="1" applyFill="1" applyBorder="1" applyAlignment="1">
      <alignment horizontal="center" vertical="center" wrapText="1"/>
    </xf>
    <xf numFmtId="0" fontId="3" fillId="0" borderId="7" xfId="0" applyFont="1" applyBorder="1" applyAlignment="1">
      <alignment horizontal="center" vertical="center" wrapText="1"/>
    </xf>
    <xf numFmtId="0" fontId="3" fillId="0" borderId="6" xfId="0" applyFont="1" applyBorder="1" applyAlignment="1">
      <alignment horizontal="center" vertical="center" wrapText="1"/>
    </xf>
    <xf numFmtId="2" fontId="11" fillId="0" borderId="2" xfId="0" applyNumberFormat="1" applyFont="1" applyFill="1" applyBorder="1" applyAlignment="1">
      <alignment horizontal="right" vertical="center" wrapText="1"/>
    </xf>
    <xf numFmtId="0" fontId="6" fillId="0" borderId="3" xfId="0" applyFont="1" applyBorder="1" applyAlignment="1">
      <alignment horizontal="right" vertical="center" wrapText="1"/>
    </xf>
    <xf numFmtId="0" fontId="11" fillId="0" borderId="0" xfId="0" applyNumberFormat="1" applyFont="1" applyFill="1" applyBorder="1" applyAlignment="1">
      <alignment horizontal="right" vertical="top" wrapText="1"/>
    </xf>
    <xf numFmtId="0" fontId="11" fillId="0" borderId="12" xfId="0" applyNumberFormat="1" applyFont="1" applyFill="1" applyBorder="1" applyAlignment="1">
      <alignment horizontal="right" vertical="top" wrapText="1"/>
    </xf>
    <xf numFmtId="0" fontId="12" fillId="0" borderId="5" xfId="0" applyFont="1" applyFill="1" applyBorder="1" applyAlignment="1">
      <alignment horizontal="center" vertical="top" wrapText="1"/>
    </xf>
    <xf numFmtId="2" fontId="3" fillId="0" borderId="9" xfId="0" applyNumberFormat="1" applyFont="1" applyFill="1" applyBorder="1" applyAlignment="1">
      <alignment horizontal="center" vertical="center" wrapText="1"/>
    </xf>
    <xf numFmtId="2" fontId="3" fillId="0" borderId="0" xfId="0" applyNumberFormat="1" applyFont="1" applyFill="1" applyBorder="1" applyAlignment="1">
      <alignment horizontal="center" vertical="center" wrapText="1"/>
    </xf>
    <xf numFmtId="2" fontId="3" fillId="0" borderId="12" xfId="0" applyNumberFormat="1" applyFont="1" applyFill="1" applyBorder="1" applyAlignment="1">
      <alignment horizontal="center" vertical="center" wrapText="1"/>
    </xf>
    <xf numFmtId="2" fontId="3" fillId="0" borderId="7" xfId="0" applyNumberFormat="1" applyFont="1" applyFill="1" applyBorder="1" applyAlignment="1">
      <alignment horizontal="center" vertical="center" wrapText="1"/>
    </xf>
    <xf numFmtId="2" fontId="3" fillId="0" borderId="6" xfId="0" applyNumberFormat="1" applyFont="1" applyFill="1" applyBorder="1" applyAlignment="1">
      <alignment horizontal="center" vertical="center" wrapText="1"/>
    </xf>
    <xf numFmtId="0" fontId="11" fillId="0" borderId="8" xfId="0" applyFont="1" applyBorder="1" applyAlignment="1">
      <alignment horizontal="right"/>
    </xf>
    <xf numFmtId="0" fontId="11" fillId="0" borderId="6" xfId="0" applyFont="1" applyBorder="1" applyAlignment="1">
      <alignment horizontal="right"/>
    </xf>
    <xf numFmtId="2" fontId="11" fillId="0" borderId="9" xfId="0" applyNumberFormat="1" applyFont="1" applyFill="1" applyBorder="1" applyAlignment="1">
      <alignment horizontal="center" vertical="center"/>
    </xf>
    <xf numFmtId="2" fontId="11" fillId="0" borderId="0" xfId="0" applyNumberFormat="1" applyFont="1" applyFill="1" applyBorder="1" applyAlignment="1">
      <alignment horizontal="center" vertical="center"/>
    </xf>
    <xf numFmtId="2" fontId="11" fillId="0" borderId="12" xfId="0" applyNumberFormat="1" applyFont="1" applyFill="1" applyBorder="1" applyAlignment="1">
      <alignment horizontal="center" vertical="center"/>
    </xf>
    <xf numFmtId="2" fontId="11" fillId="0" borderId="9" xfId="0" applyNumberFormat="1" applyFont="1" applyBorder="1" applyAlignment="1">
      <alignment horizontal="right" vertical="center" wrapText="1"/>
    </xf>
    <xf numFmtId="0" fontId="12" fillId="0" borderId="0" xfId="0" applyFont="1" applyAlignment="1">
      <alignment horizontal="right" vertical="center" wrapText="1"/>
    </xf>
    <xf numFmtId="1" fontId="12" fillId="0" borderId="0" xfId="0" applyNumberFormat="1" applyFont="1" applyFill="1" applyBorder="1" applyAlignment="1">
      <alignment horizontal="left" wrapText="1"/>
    </xf>
    <xf numFmtId="0" fontId="12" fillId="0" borderId="0" xfId="0" applyFont="1" applyBorder="1" applyAlignment="1">
      <alignment horizontal="left" wrapText="1"/>
    </xf>
    <xf numFmtId="2" fontId="3" fillId="0" borderId="2" xfId="0" applyNumberFormat="1" applyFont="1" applyBorder="1" applyAlignment="1">
      <alignment horizontal="center" vertical="center" wrapText="1"/>
    </xf>
    <xf numFmtId="0" fontId="3" fillId="0" borderId="11" xfId="0" applyFont="1" applyBorder="1" applyAlignment="1">
      <alignment horizontal="center" vertical="center" wrapText="1"/>
    </xf>
    <xf numFmtId="0" fontId="3" fillId="0" borderId="3" xfId="0" applyFont="1" applyBorder="1" applyAlignment="1">
      <alignment horizontal="center" vertical="center" wrapText="1"/>
    </xf>
    <xf numFmtId="2" fontId="11" fillId="0" borderId="1" xfId="0" applyNumberFormat="1" applyFont="1" applyFill="1" applyBorder="1" applyAlignment="1">
      <alignment horizontal="center" vertical="center" wrapText="1"/>
    </xf>
    <xf numFmtId="0" fontId="12" fillId="0" borderId="1" xfId="0" applyFont="1" applyBorder="1" applyAlignment="1">
      <alignment horizontal="center" vertical="center" wrapText="1"/>
    </xf>
    <xf numFmtId="0" fontId="11" fillId="0" borderId="8" xfId="0" applyFont="1" applyBorder="1" applyAlignment="1">
      <alignment horizontal="right" vertical="center" wrapText="1"/>
    </xf>
    <xf numFmtId="0" fontId="3" fillId="0" borderId="7" xfId="0" applyFont="1" applyFill="1" applyBorder="1" applyAlignment="1">
      <alignment horizontal="center" vertical="center" wrapText="1"/>
    </xf>
    <xf numFmtId="0" fontId="3" fillId="0" borderId="6" xfId="0" applyFont="1" applyFill="1" applyBorder="1" applyAlignment="1">
      <alignment horizontal="center" vertical="center" wrapText="1"/>
    </xf>
    <xf numFmtId="0" fontId="6" fillId="0" borderId="1" xfId="0" applyFont="1" applyBorder="1" applyAlignment="1">
      <alignment horizontal="center"/>
    </xf>
    <xf numFmtId="0" fontId="6" fillId="0" borderId="5" xfId="0" applyFont="1" applyBorder="1" applyAlignment="1">
      <alignment horizontal="center"/>
    </xf>
    <xf numFmtId="0" fontId="12" fillId="0" borderId="19" xfId="0" applyFont="1" applyFill="1" applyBorder="1" applyAlignment="1">
      <alignment horizontal="center" vertical="top" wrapText="1"/>
    </xf>
    <xf numFmtId="0" fontId="12" fillId="0" borderId="18" xfId="0" applyFont="1" applyFill="1" applyBorder="1" applyAlignment="1">
      <alignment horizontal="center" vertical="top" wrapText="1"/>
    </xf>
    <xf numFmtId="0" fontId="12" fillId="0" borderId="14" xfId="0" applyFont="1" applyBorder="1" applyAlignment="1">
      <alignment horizontal="center" vertical="top"/>
    </xf>
    <xf numFmtId="0" fontId="12" fillId="0" borderId="9" xfId="0" applyFont="1" applyBorder="1" applyAlignment="1">
      <alignment horizontal="center" vertical="top"/>
    </xf>
    <xf numFmtId="0" fontId="6" fillId="0" borderId="33" xfId="0" applyFont="1" applyBorder="1" applyAlignment="1">
      <alignment horizontal="right"/>
    </xf>
    <xf numFmtId="0" fontId="6" fillId="0" borderId="34" xfId="0" applyFont="1" applyBorder="1" applyAlignment="1">
      <alignment horizontal="right"/>
    </xf>
    <xf numFmtId="0" fontId="6" fillId="0" borderId="35" xfId="0" applyFont="1" applyBorder="1" applyAlignment="1">
      <alignment horizontal="right"/>
    </xf>
    <xf numFmtId="0" fontId="6" fillId="0" borderId="21" xfId="0" applyFont="1" applyBorder="1" applyAlignment="1">
      <alignment horizontal="center" vertical="center" wrapText="1"/>
    </xf>
    <xf numFmtId="0" fontId="12" fillId="0" borderId="21" xfId="0" applyNumberFormat="1" applyFont="1" applyFill="1" applyBorder="1" applyAlignment="1">
      <alignment horizontal="right" vertical="top" wrapText="1"/>
    </xf>
    <xf numFmtId="2" fontId="11" fillId="0" borderId="21" xfId="0" applyNumberFormat="1" applyFont="1" applyFill="1" applyBorder="1" applyAlignment="1">
      <alignment horizontal="right" vertical="center" wrapText="1"/>
    </xf>
    <xf numFmtId="0" fontId="6" fillId="0" borderId="21" xfId="0" applyFont="1" applyBorder="1" applyAlignment="1">
      <alignment horizontal="right" vertical="center" wrapText="1"/>
    </xf>
    <xf numFmtId="0" fontId="6" fillId="0" borderId="21" xfId="0" applyFont="1" applyFill="1" applyBorder="1" applyAlignment="1">
      <alignment horizontal="right" vertical="center" wrapText="1"/>
    </xf>
    <xf numFmtId="0" fontId="2" fillId="0" borderId="21" xfId="0" applyFont="1" applyBorder="1" applyAlignment="1">
      <alignment horizontal="center" wrapText="1"/>
    </xf>
    <xf numFmtId="0" fontId="0" fillId="0" borderId="21" xfId="0" applyBorder="1" applyAlignment="1"/>
    <xf numFmtId="0" fontId="2" fillId="0" borderId="21" xfId="0" applyFont="1" applyBorder="1" applyAlignment="1">
      <alignment horizontal="center" vertical="center" wrapText="1"/>
    </xf>
    <xf numFmtId="0" fontId="0" fillId="0" borderId="21" xfId="0" applyBorder="1" applyAlignment="1">
      <alignment horizontal="center" wrapText="1"/>
    </xf>
    <xf numFmtId="0" fontId="43" fillId="0" borderId="0" xfId="0" applyNumberFormat="1" applyFont="1" applyBorder="1" applyAlignment="1">
      <alignment horizontal="center" vertical="center"/>
    </xf>
    <xf numFmtId="0" fontId="52" fillId="0" borderId="0" xfId="0" applyNumberFormat="1" applyFont="1" applyBorder="1" applyAlignment="1">
      <alignment horizontal="center" vertical="center"/>
    </xf>
    <xf numFmtId="0" fontId="1" fillId="0" borderId="0" xfId="0" applyFont="1" applyAlignment="1">
      <alignment horizontal="left" vertical="top"/>
    </xf>
    <xf numFmtId="0" fontId="2" fillId="0" borderId="0" xfId="0" applyFont="1" applyAlignment="1">
      <alignment horizontal="left" vertical="top" wrapText="1"/>
    </xf>
    <xf numFmtId="0" fontId="4" fillId="0" borderId="0" xfId="0" applyFont="1" applyAlignment="1">
      <alignment horizontal="center" vertical="center"/>
    </xf>
    <xf numFmtId="0" fontId="1" fillId="0" borderId="0" xfId="0" applyFont="1" applyAlignment="1">
      <alignment horizontal="left" vertical="center"/>
    </xf>
    <xf numFmtId="0" fontId="2" fillId="0" borderId="0" xfId="0" applyFont="1" applyAlignment="1">
      <alignment horizontal="center" vertical="center"/>
    </xf>
    <xf numFmtId="0" fontId="1" fillId="0" borderId="0" xfId="0" applyFont="1" applyAlignment="1">
      <alignment horizontal="center" vertical="center"/>
    </xf>
    <xf numFmtId="0" fontId="41" fillId="0" borderId="0" xfId="0" applyNumberFormat="1" applyFont="1" applyBorder="1" applyAlignment="1">
      <alignment horizontal="center" vertical="center"/>
    </xf>
    <xf numFmtId="0" fontId="42" fillId="0" borderId="0" xfId="0" applyNumberFormat="1" applyFont="1" applyBorder="1" applyAlignment="1">
      <alignment horizontal="center" vertical="center"/>
    </xf>
    <xf numFmtId="0" fontId="43" fillId="0" borderId="0" xfId="0" applyNumberFormat="1" applyFont="1" applyBorder="1" applyAlignment="1">
      <alignment horizontal="left" vertical="top" wrapText="1"/>
    </xf>
    <xf numFmtId="0" fontId="44" fillId="0" borderId="0" xfId="0" applyNumberFormat="1" applyFont="1" applyBorder="1" applyAlignment="1">
      <alignment horizontal="center" vertical="center"/>
    </xf>
    <xf numFmtId="0" fontId="44" fillId="0" borderId="7" xfId="0" applyNumberFormat="1" applyFont="1" applyBorder="1" applyAlignment="1">
      <alignment horizontal="center" vertical="center"/>
    </xf>
    <xf numFmtId="0" fontId="3" fillId="0" borderId="1" xfId="0" applyFont="1" applyFill="1" applyBorder="1" applyAlignment="1">
      <alignment horizontal="center" vertical="top" wrapText="1"/>
    </xf>
    <xf numFmtId="0" fontId="3" fillId="0" borderId="1" xfId="0" applyFont="1" applyFill="1" applyBorder="1" applyAlignment="1">
      <alignment horizontal="justify" vertical="top" wrapText="1"/>
    </xf>
    <xf numFmtId="2" fontId="11" fillId="0" borderId="21" xfId="0" applyNumberFormat="1" applyFont="1" applyBorder="1" applyAlignment="1">
      <alignment horizontal="center" vertical="center" wrapText="1"/>
    </xf>
    <xf numFmtId="0" fontId="11" fillId="0" borderId="21" xfId="0" applyFont="1" applyBorder="1" applyAlignment="1">
      <alignment horizontal="left" vertical="center" wrapText="1"/>
    </xf>
    <xf numFmtId="2" fontId="11" fillId="0" borderId="21" xfId="0" applyNumberFormat="1" applyFont="1" applyBorder="1" applyAlignment="1">
      <alignment horizontal="right" vertical="center" wrapText="1"/>
    </xf>
    <xf numFmtId="164" fontId="11" fillId="0" borderId="23" xfId="0" applyNumberFormat="1" applyFont="1" applyBorder="1" applyAlignment="1">
      <alignment horizontal="right" vertical="center" wrapText="1"/>
    </xf>
    <xf numFmtId="2" fontId="11" fillId="6" borderId="21" xfId="0" applyNumberFormat="1" applyFont="1" applyFill="1" applyBorder="1" applyAlignment="1">
      <alignment horizontal="center" vertical="center" wrapText="1"/>
    </xf>
    <xf numFmtId="0" fontId="11" fillId="6" borderId="21" xfId="0" applyFont="1" applyFill="1" applyBorder="1" applyAlignment="1">
      <alignment horizontal="center" vertical="center" wrapText="1"/>
    </xf>
    <xf numFmtId="2" fontId="50" fillId="0" borderId="22" xfId="0" applyNumberFormat="1" applyFont="1" applyBorder="1" applyAlignment="1">
      <alignment horizontal="right"/>
    </xf>
    <xf numFmtId="0" fontId="45" fillId="0" borderId="21" xfId="0" applyFont="1" applyBorder="1" applyAlignment="1">
      <alignment horizontal="center"/>
    </xf>
    <xf numFmtId="0" fontId="45" fillId="0" borderId="31" xfId="0" applyFont="1" applyBorder="1" applyAlignment="1">
      <alignment horizontal="right"/>
    </xf>
    <xf numFmtId="0" fontId="38" fillId="0" borderId="21" xfId="0" applyFont="1" applyBorder="1" applyAlignment="1">
      <alignment horizontal="right" vertical="center" wrapText="1"/>
    </xf>
    <xf numFmtId="2" fontId="38" fillId="0" borderId="21" xfId="0" applyNumberFormat="1" applyFont="1" applyFill="1" applyBorder="1" applyAlignment="1">
      <alignment horizontal="left" vertical="top" wrapText="1"/>
    </xf>
    <xf numFmtId="0" fontId="11" fillId="0" borderId="21" xfId="0" applyFont="1" applyBorder="1" applyAlignment="1">
      <alignment horizontal="right"/>
    </xf>
    <xf numFmtId="0" fontId="11" fillId="0" borderId="21" xfId="0" applyFont="1" applyBorder="1" applyAlignment="1">
      <alignment horizontal="right" vertical="top"/>
    </xf>
    <xf numFmtId="0" fontId="10" fillId="0" borderId="21" xfId="0" applyNumberFormat="1" applyFont="1" applyFill="1" applyBorder="1" applyAlignment="1">
      <alignment horizontal="right" vertical="top" wrapText="1"/>
    </xf>
    <xf numFmtId="0" fontId="11" fillId="0" borderId="21" xfId="0" applyFont="1" applyBorder="1" applyAlignment="1">
      <alignment horizontal="right" vertical="top" wrapText="1"/>
    </xf>
    <xf numFmtId="2" fontId="12" fillId="0" borderId="21" xfId="0" applyNumberFormat="1" applyFont="1" applyBorder="1" applyAlignment="1">
      <alignment horizontal="right" vertical="top" wrapText="1"/>
    </xf>
    <xf numFmtId="2" fontId="12" fillId="0" borderId="22" xfId="0" applyNumberFormat="1" applyFont="1" applyFill="1" applyBorder="1" applyAlignment="1"/>
    <xf numFmtId="2" fontId="12" fillId="0" borderId="21" xfId="0" applyNumberFormat="1" applyFont="1" applyFill="1" applyBorder="1" applyAlignment="1">
      <alignment horizontal="right" wrapText="1"/>
    </xf>
    <xf numFmtId="2" fontId="45" fillId="6" borderId="21" xfId="0" applyNumberFormat="1" applyFont="1" applyFill="1" applyBorder="1" applyAlignment="1">
      <alignment horizontal="right" vertical="top" wrapText="1"/>
    </xf>
    <xf numFmtId="0" fontId="45" fillId="6" borderId="21" xfId="0" applyFont="1" applyFill="1" applyBorder="1" applyAlignment="1">
      <alignment horizontal="right" vertical="top" wrapText="1"/>
    </xf>
    <xf numFmtId="2" fontId="10" fillId="6" borderId="24" xfId="0" applyNumberFormat="1" applyFont="1" applyFill="1" applyBorder="1" applyAlignment="1">
      <alignment horizontal="right" vertical="top" wrapText="1"/>
    </xf>
    <xf numFmtId="0" fontId="50" fillId="0" borderId="29" xfId="0" applyFont="1" applyBorder="1" applyAlignment="1">
      <alignment horizontal="right"/>
    </xf>
    <xf numFmtId="2" fontId="45" fillId="6" borderId="24" xfId="0" applyNumberFormat="1" applyFont="1" applyFill="1" applyBorder="1" applyAlignment="1">
      <alignment horizontal="right"/>
    </xf>
  </cellXfs>
  <cellStyles count="5">
    <cellStyle name="Comma" xfId="3" builtinId="3"/>
    <cellStyle name="Comma 2" xfId="1"/>
    <cellStyle name="Normal" xfId="0" builtinId="0"/>
    <cellStyle name="Normal 2" xfId="2"/>
    <cellStyle name="Normal 5" xfId="4"/>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Users/Audhumber%20Alat/Downloads/Premonsoon/2014%20-2015%20Attending%20Premonson%20&amp;%20during%20monsoon%20work.xls"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Road statement (2)"/>
      <sheetName val="meant for Relince wall "/>
      <sheetName val="Face B (3)"/>
      <sheetName val="Road statement"/>
      <sheetName val="Road statement (Addl.P.I.A.)"/>
      <sheetName val="Abstr Premonsoon "/>
      <sheetName val="Face F (2)"/>
      <sheetName val="Face B (4)"/>
      <sheetName val="Abstr Premonsoon  (Revised)"/>
      <sheetName val="Measu Premonsoon (Revised)"/>
      <sheetName val="Measu Premonsoon"/>
      <sheetName val="Measu (2)"/>
      <sheetName val="Docket"/>
      <sheetName val="Face F"/>
      <sheetName val="Face B (2)"/>
      <sheetName val="Schedule-B"/>
      <sheetName val="Sheet1"/>
      <sheetName val="HDPE line "/>
    </sheetNames>
    <sheetDataSet>
      <sheetData sheetId="0"/>
      <sheetData sheetId="1"/>
      <sheetData sheetId="2"/>
      <sheetData sheetId="3"/>
      <sheetData sheetId="4"/>
      <sheetData sheetId="5">
        <row r="1461">
          <cell r="H1461" t="e">
            <v>#REF!</v>
          </cell>
        </row>
      </sheetData>
      <sheetData sheetId="6"/>
      <sheetData sheetId="7"/>
      <sheetData sheetId="8"/>
      <sheetData sheetId="9"/>
      <sheetData sheetId="10"/>
      <sheetData sheetId="11"/>
      <sheetData sheetId="12"/>
      <sheetData sheetId="13"/>
      <sheetData sheetId="14"/>
      <sheetData sheetId="15"/>
      <sheetData sheetId="16"/>
      <sheetData sheetId="17"/>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dimension ref="A1:O238"/>
  <sheetViews>
    <sheetView view="pageBreakPreview" topLeftCell="A4" zoomScale="75" zoomScaleSheetLayoutView="75" workbookViewId="0">
      <selection activeCell="H18" sqref="H18"/>
    </sheetView>
  </sheetViews>
  <sheetFormatPr defaultRowHeight="12.75"/>
  <cols>
    <col min="1" max="1" width="6.7109375" customWidth="1"/>
    <col min="2" max="2" width="12.42578125" customWidth="1"/>
    <col min="3" max="3" width="9.140625" hidden="1" customWidth="1"/>
    <col min="4" max="4" width="8.140625" customWidth="1"/>
    <col min="5" max="5" width="16.85546875" customWidth="1"/>
    <col min="6" max="6" width="6.28515625" customWidth="1"/>
    <col min="7" max="7" width="22.85546875" customWidth="1"/>
    <col min="8" max="8" width="23.7109375" customWidth="1"/>
    <col min="9" max="9" width="9.140625" hidden="1" customWidth="1"/>
    <col min="10" max="10" width="5.28515625" customWidth="1"/>
    <col min="11" max="11" width="3.140625" customWidth="1"/>
    <col min="12" max="12" width="17.5703125" customWidth="1"/>
    <col min="13" max="13" width="4.5703125" hidden="1" customWidth="1"/>
    <col min="14" max="14" width="9.140625" hidden="1" customWidth="1"/>
  </cols>
  <sheetData>
    <row r="1" spans="1:12" ht="38.25" customHeight="1"/>
    <row r="2" spans="1:12" ht="25.5" customHeight="1">
      <c r="A2" s="833" t="s">
        <v>72</v>
      </c>
      <c r="B2" s="834"/>
      <c r="C2" s="834"/>
      <c r="D2" s="834"/>
      <c r="E2" s="834"/>
      <c r="F2" s="834"/>
      <c r="G2" s="834"/>
      <c r="H2" s="834"/>
      <c r="I2" s="834"/>
      <c r="J2" s="834"/>
      <c r="K2" s="834"/>
    </row>
    <row r="3" spans="1:12" ht="18.75" customHeight="1">
      <c r="A3" s="835" t="s">
        <v>73</v>
      </c>
      <c r="B3" s="835"/>
      <c r="C3" s="835"/>
      <c r="D3" s="835"/>
      <c r="E3" s="835"/>
      <c r="F3" s="835"/>
      <c r="G3" s="835"/>
      <c r="H3" s="835"/>
      <c r="I3" s="835"/>
      <c r="J3" s="835"/>
      <c r="K3" s="835"/>
    </row>
    <row r="4" spans="1:12" ht="15">
      <c r="A4" s="108"/>
      <c r="B4" s="109"/>
      <c r="C4" s="109"/>
      <c r="D4" s="109"/>
      <c r="E4" s="109"/>
      <c r="F4" s="109"/>
      <c r="G4" s="109"/>
      <c r="H4" s="109"/>
      <c r="I4" s="109"/>
      <c r="J4" s="108"/>
      <c r="K4" s="108"/>
    </row>
    <row r="5" spans="1:12" ht="25.5" customHeight="1">
      <c r="A5" s="108"/>
      <c r="B5" s="109"/>
      <c r="C5" s="109"/>
      <c r="D5" s="109"/>
      <c r="E5" s="109"/>
      <c r="F5" s="109"/>
      <c r="G5" s="109"/>
      <c r="H5" s="109"/>
      <c r="I5" s="109"/>
      <c r="J5" s="108"/>
      <c r="K5" s="108"/>
    </row>
    <row r="6" spans="1:12" ht="54" customHeight="1">
      <c r="A6" s="836" t="s">
        <v>75</v>
      </c>
      <c r="B6" s="837"/>
      <c r="C6" s="837"/>
      <c r="D6" s="837"/>
      <c r="E6" s="838" t="s">
        <v>257</v>
      </c>
      <c r="F6" s="838"/>
      <c r="G6" s="838"/>
      <c r="H6" s="838"/>
      <c r="I6" s="838"/>
      <c r="J6" s="838"/>
      <c r="K6" s="838"/>
      <c r="L6" s="46"/>
    </row>
    <row r="7" spans="1:12" ht="40.5" customHeight="1">
      <c r="A7" s="111"/>
      <c r="B7" s="112"/>
      <c r="C7" s="112"/>
      <c r="D7" s="112"/>
      <c r="E7" s="112"/>
      <c r="F7" s="112"/>
      <c r="G7" s="112"/>
      <c r="H7" s="112"/>
      <c r="I7" s="112"/>
      <c r="J7" s="111"/>
      <c r="K7" s="111"/>
      <c r="L7" s="46"/>
    </row>
    <row r="8" spans="1:12" ht="21.75" customHeight="1">
      <c r="A8" s="111"/>
      <c r="B8" s="838" t="s">
        <v>77</v>
      </c>
      <c r="C8" s="839"/>
      <c r="D8" s="839"/>
      <c r="E8" s="839"/>
      <c r="F8" s="839"/>
      <c r="G8" s="839"/>
      <c r="H8" s="112"/>
      <c r="I8" s="112"/>
      <c r="J8" s="111"/>
      <c r="K8" s="111"/>
      <c r="L8" s="46"/>
    </row>
    <row r="9" spans="1:12" ht="45" customHeight="1">
      <c r="A9" s="111"/>
      <c r="B9" s="829"/>
      <c r="C9" s="830"/>
      <c r="D9" s="830"/>
      <c r="E9" s="831" t="s">
        <v>391</v>
      </c>
      <c r="F9" s="831"/>
      <c r="G9" s="831"/>
      <c r="H9" s="114">
        <f>'Painting Estimate Colony F'!K503</f>
        <v>4854364.358</v>
      </c>
      <c r="I9" s="112"/>
      <c r="J9" s="111"/>
      <c r="K9" s="111"/>
      <c r="L9" s="46"/>
    </row>
    <row r="10" spans="1:12" ht="21.75" customHeight="1">
      <c r="A10" s="111"/>
      <c r="B10" s="110"/>
      <c r="C10" s="113"/>
      <c r="D10" s="113"/>
      <c r="E10" s="113"/>
      <c r="F10" s="113"/>
      <c r="G10" s="113"/>
      <c r="H10" s="115"/>
      <c r="I10" s="112"/>
      <c r="J10" s="111"/>
      <c r="K10" s="111"/>
      <c r="L10" s="46"/>
    </row>
    <row r="11" spans="1:12" ht="25.5" customHeight="1">
      <c r="A11" s="116"/>
      <c r="B11" s="116"/>
      <c r="C11" s="828"/>
      <c r="D11" s="828"/>
      <c r="E11" s="828"/>
      <c r="F11" s="828"/>
      <c r="G11" s="118" t="s">
        <v>100</v>
      </c>
      <c r="H11" s="119">
        <f>SUM(H9:H10)</f>
        <v>4854364.358</v>
      </c>
      <c r="I11" s="116"/>
      <c r="J11" s="116"/>
      <c r="K11" s="108"/>
      <c r="L11" s="57"/>
    </row>
    <row r="12" spans="1:12" ht="20.25" customHeight="1">
      <c r="A12" s="116"/>
      <c r="B12" s="116"/>
      <c r="C12" s="117"/>
      <c r="D12" s="117"/>
      <c r="E12" s="117"/>
      <c r="F12" s="117"/>
      <c r="G12" s="120"/>
      <c r="H12" s="121"/>
      <c r="I12" s="116"/>
      <c r="J12" s="116"/>
      <c r="K12" s="108"/>
    </row>
    <row r="13" spans="1:12" ht="24.75" customHeight="1">
      <c r="A13" s="116"/>
      <c r="B13" s="829" t="s">
        <v>101</v>
      </c>
      <c r="C13" s="832"/>
      <c r="D13" s="832"/>
      <c r="E13" s="832"/>
      <c r="F13" s="832"/>
      <c r="G13" s="122" t="s">
        <v>82</v>
      </c>
      <c r="H13" s="123">
        <f>H11*5/100</f>
        <v>242718.21789999999</v>
      </c>
      <c r="I13" s="116"/>
      <c r="J13" s="116"/>
      <c r="K13" s="108"/>
    </row>
    <row r="14" spans="1:12" ht="21" customHeight="1">
      <c r="A14" s="116"/>
      <c r="B14" s="116"/>
      <c r="C14" s="116"/>
      <c r="D14" s="116"/>
      <c r="E14" s="116"/>
      <c r="F14" s="116"/>
      <c r="G14" s="124"/>
      <c r="H14" s="125"/>
      <c r="I14" s="126"/>
      <c r="J14" s="116"/>
      <c r="K14" s="108"/>
    </row>
    <row r="15" spans="1:12" ht="42.75" customHeight="1">
      <c r="A15" s="116"/>
      <c r="B15" s="116"/>
      <c r="C15" s="127" t="s">
        <v>102</v>
      </c>
      <c r="D15" s="116"/>
      <c r="E15" s="116"/>
      <c r="F15" s="128"/>
      <c r="G15" s="122" t="s">
        <v>103</v>
      </c>
      <c r="H15" s="123">
        <f>SUM(H11:H14)</f>
        <v>5097082.5758999996</v>
      </c>
      <c r="I15" s="129"/>
      <c r="J15" s="129" t="s">
        <v>104</v>
      </c>
      <c r="K15" s="108"/>
    </row>
    <row r="16" spans="1:12" ht="18">
      <c r="A16" s="116"/>
      <c r="B16" s="116"/>
      <c r="C16" s="116"/>
      <c r="D16" s="116"/>
      <c r="E16" s="116"/>
      <c r="F16" s="116"/>
      <c r="G16" s="122"/>
      <c r="H16" s="123"/>
      <c r="I16" s="130"/>
      <c r="J16" s="130"/>
      <c r="K16" s="108"/>
    </row>
    <row r="17" spans="1:11" ht="18">
      <c r="A17" s="116"/>
      <c r="B17" s="116"/>
      <c r="C17" s="116"/>
      <c r="D17" s="116"/>
      <c r="E17" s="116"/>
      <c r="F17" s="128"/>
      <c r="G17" s="122"/>
      <c r="H17" s="131"/>
      <c r="I17" s="129"/>
      <c r="J17" s="130"/>
      <c r="K17" s="108"/>
    </row>
    <row r="18" spans="1:11" ht="38.25" customHeight="1">
      <c r="A18" s="116"/>
      <c r="B18" s="116"/>
      <c r="C18" s="116"/>
      <c r="D18" s="116"/>
      <c r="E18" s="116"/>
      <c r="F18" s="128"/>
      <c r="G18" s="122" t="s">
        <v>105</v>
      </c>
      <c r="H18" s="409">
        <f>ROUNDUP(H15,-2)</f>
        <v>5097100</v>
      </c>
      <c r="I18" s="129"/>
      <c r="J18" s="129" t="s">
        <v>106</v>
      </c>
      <c r="K18" s="108"/>
    </row>
    <row r="19" spans="1:11" ht="18">
      <c r="A19" s="116"/>
      <c r="B19" s="116"/>
      <c r="C19" s="116"/>
      <c r="D19" s="116"/>
      <c r="E19" s="116"/>
      <c r="F19" s="128"/>
      <c r="G19" s="132"/>
      <c r="H19" s="133"/>
      <c r="I19" s="132"/>
      <c r="J19" s="116"/>
      <c r="K19" s="108"/>
    </row>
    <row r="20" spans="1:11" ht="18">
      <c r="A20" s="116"/>
      <c r="B20" s="116"/>
      <c r="C20" s="116"/>
      <c r="D20" s="116"/>
      <c r="E20" s="116"/>
      <c r="F20" s="116"/>
      <c r="G20" s="134"/>
      <c r="H20" s="116"/>
      <c r="I20" s="116"/>
      <c r="J20" s="116"/>
      <c r="K20" s="108"/>
    </row>
    <row r="21" spans="1:11" ht="18">
      <c r="A21" s="116"/>
      <c r="B21" s="116"/>
      <c r="C21" s="116"/>
      <c r="D21" s="116"/>
      <c r="E21" s="116"/>
      <c r="F21" s="116"/>
      <c r="G21" s="135"/>
      <c r="H21" s="134"/>
      <c r="I21" s="116"/>
      <c r="J21" s="116"/>
      <c r="K21" s="108"/>
    </row>
    <row r="22" spans="1:11" ht="18">
      <c r="A22" s="116"/>
      <c r="B22" s="116"/>
      <c r="C22" s="116"/>
      <c r="D22" s="116"/>
      <c r="E22" s="116"/>
      <c r="F22" s="116"/>
      <c r="G22" s="134"/>
      <c r="H22" s="116"/>
      <c r="I22" s="116"/>
      <c r="J22" s="116"/>
      <c r="K22" s="108"/>
    </row>
    <row r="23" spans="1:11" ht="18">
      <c r="A23" s="116"/>
      <c r="B23" s="116"/>
      <c r="C23" s="116"/>
      <c r="D23" s="116"/>
      <c r="E23" s="116"/>
      <c r="F23" s="116"/>
      <c r="G23" s="116"/>
      <c r="H23" s="116"/>
      <c r="I23" s="116"/>
      <c r="J23" s="116"/>
      <c r="K23" s="108"/>
    </row>
    <row r="24" spans="1:11" ht="18">
      <c r="A24" s="116"/>
      <c r="B24" s="116"/>
      <c r="C24" s="116"/>
      <c r="D24" s="116"/>
      <c r="E24" s="116"/>
      <c r="F24" s="116"/>
      <c r="G24" s="116"/>
      <c r="H24" s="136"/>
      <c r="I24" s="116"/>
      <c r="J24" s="116"/>
      <c r="K24" s="116"/>
    </row>
    <row r="25" spans="1:11" ht="18">
      <c r="A25" s="116"/>
      <c r="B25" s="116"/>
      <c r="C25" s="116"/>
      <c r="D25" s="116"/>
      <c r="E25" s="116"/>
      <c r="F25" s="116"/>
      <c r="G25" s="116"/>
      <c r="H25" s="137" t="s">
        <v>107</v>
      </c>
      <c r="I25" s="116"/>
      <c r="J25" s="116"/>
      <c r="K25" s="116"/>
    </row>
    <row r="26" spans="1:11" ht="18">
      <c r="A26" s="116"/>
      <c r="B26" s="116"/>
      <c r="C26" s="116"/>
      <c r="D26" s="116"/>
      <c r="E26" s="116"/>
      <c r="F26" s="116"/>
      <c r="G26" s="116"/>
      <c r="H26" s="138" t="s">
        <v>116</v>
      </c>
      <c r="I26" s="116"/>
      <c r="J26" s="116"/>
      <c r="K26" s="116"/>
    </row>
    <row r="27" spans="1:11" ht="18">
      <c r="A27" s="116"/>
      <c r="B27" s="116"/>
      <c r="C27" s="116"/>
      <c r="D27" s="116"/>
      <c r="E27" s="116"/>
      <c r="F27" s="116"/>
      <c r="G27" s="116"/>
      <c r="H27" s="137" t="s">
        <v>279</v>
      </c>
      <c r="I27" s="116"/>
      <c r="J27" s="116"/>
      <c r="K27" s="116"/>
    </row>
    <row r="28" spans="1:11" ht="15.75">
      <c r="A28" s="1"/>
      <c r="B28" s="1"/>
      <c r="C28" s="1"/>
      <c r="D28" s="1"/>
      <c r="E28" s="1"/>
      <c r="F28" s="1"/>
      <c r="G28" s="1"/>
      <c r="H28" s="66"/>
      <c r="I28" s="1"/>
      <c r="J28" s="1"/>
      <c r="K28" s="1"/>
    </row>
    <row r="29" spans="1:11" ht="15">
      <c r="G29" s="1"/>
      <c r="H29" s="1"/>
      <c r="I29" s="1"/>
      <c r="J29" s="1"/>
    </row>
    <row r="48" spans="1:11" ht="18">
      <c r="A48" s="807" t="s">
        <v>72</v>
      </c>
      <c r="B48" s="807"/>
      <c r="C48" s="807"/>
      <c r="D48" s="807"/>
      <c r="E48" s="807"/>
      <c r="F48" s="807"/>
      <c r="G48" s="807"/>
      <c r="H48" s="807"/>
      <c r="I48" s="807"/>
      <c r="J48" s="808"/>
      <c r="K48" s="808"/>
    </row>
    <row r="49" spans="1:12" ht="21.75" customHeight="1">
      <c r="A49" s="809" t="s">
        <v>73</v>
      </c>
      <c r="B49" s="809"/>
      <c r="C49" s="809"/>
      <c r="D49" s="809"/>
      <c r="E49" s="809"/>
      <c r="F49" s="809"/>
      <c r="G49" s="809"/>
      <c r="H49" s="809"/>
      <c r="I49" s="809"/>
      <c r="J49" s="810"/>
      <c r="K49" s="3"/>
    </row>
    <row r="50" spans="1:12" ht="16.5" customHeight="1">
      <c r="A50" s="53"/>
      <c r="B50" s="53"/>
      <c r="C50" s="53"/>
      <c r="D50" s="53"/>
      <c r="E50" s="53"/>
      <c r="F50" s="53"/>
      <c r="G50" s="53"/>
      <c r="H50" s="53"/>
    </row>
    <row r="51" spans="1:12" ht="19.5" customHeight="1">
      <c r="A51" s="69"/>
      <c r="B51" s="70" t="s">
        <v>75</v>
      </c>
      <c r="C51" s="71"/>
      <c r="D51" s="71"/>
      <c r="E51" s="811" t="s">
        <v>109</v>
      </c>
      <c r="F51" s="811"/>
      <c r="G51" s="811"/>
      <c r="H51" s="811"/>
      <c r="I51" s="811"/>
      <c r="J51" s="811"/>
      <c r="K51" s="811"/>
      <c r="L51" s="811"/>
    </row>
    <row r="52" spans="1:12" ht="45.75" customHeight="1">
      <c r="B52" s="3"/>
      <c r="C52" s="3"/>
      <c r="D52" s="3"/>
      <c r="E52" s="820" t="e">
        <f>'[1]Measu Premonsoon'!#REF!</f>
        <v>#REF!</v>
      </c>
      <c r="F52" s="820"/>
      <c r="G52" s="820"/>
      <c r="H52" s="820"/>
      <c r="I52" s="820"/>
      <c r="J52" s="820"/>
      <c r="K52" s="72"/>
      <c r="L52" s="72"/>
    </row>
    <row r="53" spans="1:12" ht="14.25" customHeight="1">
      <c r="B53" s="803"/>
      <c r="C53" s="804"/>
      <c r="D53" s="804"/>
      <c r="E53" s="805"/>
      <c r="F53" s="805"/>
      <c r="G53" s="805"/>
      <c r="H53" s="805"/>
      <c r="I53" s="821"/>
      <c r="J53" s="821"/>
      <c r="K53" s="801"/>
    </row>
    <row r="54" spans="1:12" ht="52.5" hidden="1" customHeight="1">
      <c r="E54" s="812" t="s">
        <v>110</v>
      </c>
      <c r="F54" s="813"/>
      <c r="G54" s="813"/>
      <c r="H54" s="813"/>
    </row>
    <row r="55" spans="1:12" ht="1.5" hidden="1" customHeight="1"/>
    <row r="56" spans="1:12" ht="3" hidden="1" customHeight="1"/>
    <row r="57" spans="1:12" ht="13.5" hidden="1" thickBot="1">
      <c r="B57" s="42"/>
      <c r="C57" s="42"/>
      <c r="D57" s="42"/>
      <c r="E57" s="42"/>
      <c r="F57" s="42"/>
      <c r="G57" s="42"/>
      <c r="H57" s="42"/>
      <c r="I57" s="42"/>
    </row>
    <row r="58" spans="1:12" ht="9.75" customHeight="1">
      <c r="B58" s="814"/>
      <c r="C58" s="814"/>
      <c r="D58" s="814"/>
      <c r="E58" s="814"/>
      <c r="F58" s="814"/>
      <c r="G58" s="814"/>
      <c r="H58" s="814"/>
      <c r="I58" s="814"/>
    </row>
    <row r="59" spans="1:12" ht="15.75">
      <c r="B59" s="54"/>
      <c r="C59" s="54"/>
      <c r="D59" s="54"/>
      <c r="E59" s="54"/>
      <c r="F59" s="54"/>
      <c r="G59" s="54"/>
      <c r="H59" s="54"/>
      <c r="I59" s="54"/>
    </row>
    <row r="60" spans="1:12" ht="15.75">
      <c r="B60" s="66" t="s">
        <v>111</v>
      </c>
      <c r="C60" s="56"/>
      <c r="D60" s="56"/>
      <c r="E60" s="1"/>
      <c r="F60" s="1"/>
      <c r="G60" s="75"/>
      <c r="H60" s="56"/>
    </row>
    <row r="61" spans="1:12" ht="9" customHeight="1">
      <c r="B61" s="76"/>
      <c r="C61" s="56"/>
      <c r="D61" s="56"/>
      <c r="E61" s="1"/>
      <c r="F61" s="1"/>
      <c r="G61" s="75"/>
      <c r="H61" s="56"/>
    </row>
    <row r="62" spans="1:12" ht="34.5" customHeight="1">
      <c r="B62" s="815"/>
      <c r="C62" s="816"/>
      <c r="D62" s="816"/>
      <c r="E62" s="816"/>
      <c r="F62" s="9" t="s">
        <v>82</v>
      </c>
      <c r="G62" s="78" t="e">
        <f>'[1]Abstr Premonsoon '!H1461</f>
        <v>#REF!</v>
      </c>
      <c r="H62" s="56"/>
    </row>
    <row r="63" spans="1:12" ht="14.25" customHeight="1">
      <c r="B63" s="79"/>
      <c r="C63" s="77"/>
      <c r="D63" s="77"/>
      <c r="E63" s="77"/>
      <c r="F63" s="9"/>
      <c r="G63" s="78"/>
      <c r="H63" s="56"/>
    </row>
    <row r="64" spans="1:12" ht="33" customHeight="1">
      <c r="B64" s="62" t="s">
        <v>101</v>
      </c>
      <c r="C64" s="80"/>
      <c r="D64" s="80"/>
      <c r="E64" s="80"/>
      <c r="F64" s="9" t="s">
        <v>82</v>
      </c>
      <c r="G64" s="78" t="e">
        <f>G62*0.05</f>
        <v>#REF!</v>
      </c>
      <c r="H64" s="56"/>
    </row>
    <row r="65" spans="2:11" ht="13.5" customHeight="1">
      <c r="B65" s="80"/>
      <c r="C65" s="80"/>
      <c r="D65" s="80"/>
      <c r="E65" s="80"/>
      <c r="F65" s="81"/>
      <c r="G65" s="82"/>
      <c r="H65" s="83"/>
    </row>
    <row r="66" spans="2:11" ht="15.75" customHeight="1">
      <c r="B66" s="6"/>
      <c r="C66" s="6"/>
      <c r="D66" s="6"/>
      <c r="E66" s="6"/>
      <c r="F66" s="6"/>
      <c r="G66" s="4"/>
      <c r="H66" s="84"/>
    </row>
    <row r="67" spans="2:11" ht="38.25" customHeight="1">
      <c r="B67" s="85" t="s">
        <v>102</v>
      </c>
      <c r="C67" s="6"/>
      <c r="D67" s="6"/>
      <c r="E67" s="9" t="s">
        <v>44</v>
      </c>
      <c r="F67" s="78" t="s">
        <v>82</v>
      </c>
      <c r="G67" s="4" t="e">
        <f>SUM(G62:G66)</f>
        <v>#REF!</v>
      </c>
      <c r="H67" s="84"/>
    </row>
    <row r="68" spans="2:11" ht="21.75" customHeight="1">
      <c r="F68" s="2"/>
      <c r="G68" s="63"/>
    </row>
    <row r="69" spans="2:11" ht="20.25" customHeight="1">
      <c r="E69" s="86" t="s">
        <v>112</v>
      </c>
      <c r="F69" s="73" t="s">
        <v>82</v>
      </c>
      <c r="G69" s="87" t="s">
        <v>113</v>
      </c>
      <c r="H69" s="73" t="s">
        <v>114</v>
      </c>
    </row>
    <row r="74" spans="2:11">
      <c r="E74" s="88"/>
      <c r="F74" s="88"/>
      <c r="G74" s="88"/>
      <c r="H74" s="88"/>
    </row>
    <row r="75" spans="2:11" ht="15.75">
      <c r="E75" s="1"/>
      <c r="F75" s="1"/>
      <c r="G75" s="63"/>
      <c r="H75" s="1"/>
    </row>
    <row r="76" spans="2:11" ht="24.75" customHeight="1">
      <c r="E76" s="1"/>
      <c r="F76" s="1"/>
      <c r="G76" s="1" t="s">
        <v>115</v>
      </c>
      <c r="H76" s="1"/>
      <c r="I76" s="1"/>
      <c r="J76" s="1"/>
      <c r="K76" s="1"/>
    </row>
    <row r="77" spans="2:11" ht="15">
      <c r="E77" s="1"/>
      <c r="F77" s="1"/>
      <c r="G77" s="65" t="s">
        <v>116</v>
      </c>
      <c r="H77" s="1"/>
      <c r="I77" s="1"/>
      <c r="J77" s="1"/>
      <c r="K77" s="1"/>
    </row>
    <row r="78" spans="2:11" ht="15">
      <c r="E78" s="1"/>
      <c r="F78" s="1"/>
      <c r="G78" s="1" t="s">
        <v>117</v>
      </c>
      <c r="H78" s="1"/>
      <c r="I78" s="1"/>
      <c r="J78" s="1"/>
      <c r="K78" s="1"/>
    </row>
    <row r="79" spans="2:11" ht="15.75">
      <c r="E79" s="1"/>
      <c r="F79" s="1"/>
      <c r="G79" s="66"/>
      <c r="H79" s="1"/>
      <c r="I79" s="1"/>
      <c r="J79" s="1"/>
      <c r="K79" s="1"/>
    </row>
    <row r="80" spans="2:11" ht="15">
      <c r="E80" s="1"/>
      <c r="F80" s="1"/>
      <c r="G80" s="1"/>
      <c r="H80" s="1"/>
    </row>
    <row r="81" spans="5:8" ht="15">
      <c r="E81" s="1"/>
      <c r="F81" s="1"/>
      <c r="G81" s="1"/>
      <c r="H81" s="1"/>
    </row>
    <row r="82" spans="5:8" ht="15">
      <c r="F82" s="1"/>
      <c r="G82" s="1"/>
      <c r="H82" s="1"/>
    </row>
    <row r="104" spans="1:10" ht="15.75">
      <c r="A104" s="817" t="s">
        <v>72</v>
      </c>
      <c r="B104" s="817"/>
      <c r="C104" s="817"/>
      <c r="D104" s="817"/>
      <c r="E104" s="817"/>
      <c r="F104" s="817"/>
      <c r="G104" s="817"/>
      <c r="H104" s="817"/>
      <c r="I104" s="817"/>
      <c r="J104" s="818"/>
    </row>
    <row r="105" spans="1:10">
      <c r="A105" s="819" t="s">
        <v>73</v>
      </c>
      <c r="B105" s="819"/>
      <c r="C105" s="819"/>
      <c r="D105" s="819"/>
      <c r="E105" s="819"/>
      <c r="F105" s="819"/>
      <c r="G105" s="819"/>
      <c r="H105" s="819"/>
      <c r="I105" s="819"/>
      <c r="J105" s="818"/>
    </row>
    <row r="106" spans="1:10">
      <c r="A106" s="53"/>
      <c r="B106" s="53"/>
      <c r="C106" s="53"/>
      <c r="D106" s="53"/>
      <c r="E106" s="53"/>
      <c r="F106" s="53"/>
      <c r="G106" s="53"/>
      <c r="H106" s="53"/>
    </row>
    <row r="107" spans="1:10">
      <c r="A107" s="53"/>
      <c r="B107" s="53"/>
      <c r="C107" s="53"/>
      <c r="D107" s="53"/>
      <c r="E107" s="53"/>
      <c r="F107" s="53"/>
      <c r="G107" s="53"/>
      <c r="H107" s="53"/>
    </row>
    <row r="109" spans="1:10" ht="55.5" customHeight="1">
      <c r="B109" s="803" t="s">
        <v>75</v>
      </c>
      <c r="C109" s="804"/>
      <c r="D109" s="804"/>
      <c r="E109" s="805" t="s">
        <v>118</v>
      </c>
      <c r="F109" s="805"/>
      <c r="G109" s="805"/>
      <c r="H109" s="805"/>
      <c r="I109" s="806"/>
      <c r="J109" s="806"/>
    </row>
    <row r="110" spans="1:10" ht="52.5" hidden="1" customHeight="1">
      <c r="E110" s="812" t="s">
        <v>110</v>
      </c>
      <c r="F110" s="813"/>
      <c r="G110" s="813"/>
      <c r="H110" s="813"/>
    </row>
    <row r="111" spans="1:10" ht="1.5" hidden="1" customHeight="1"/>
    <row r="112" spans="1:10" ht="3" hidden="1" customHeight="1"/>
    <row r="113" spans="2:9" ht="13.5" hidden="1" thickBot="1">
      <c r="B113" s="42"/>
      <c r="C113" s="42"/>
      <c r="D113" s="42"/>
      <c r="E113" s="42"/>
      <c r="F113" s="42"/>
      <c r="G113" s="42"/>
      <c r="H113" s="42"/>
      <c r="I113" s="42"/>
    </row>
    <row r="114" spans="2:9" ht="15.75">
      <c r="B114" s="89"/>
      <c r="C114" s="51"/>
      <c r="D114" s="51"/>
      <c r="E114" s="51"/>
      <c r="F114" s="51"/>
      <c r="G114" s="51"/>
      <c r="H114" s="51"/>
      <c r="I114" s="51"/>
    </row>
    <row r="115" spans="2:9" ht="15.75">
      <c r="B115" s="814" t="s">
        <v>119</v>
      </c>
      <c r="C115" s="814"/>
      <c r="D115" s="814"/>
      <c r="E115" s="814"/>
      <c r="F115" s="814"/>
      <c r="G115" s="814"/>
      <c r="H115" s="814"/>
      <c r="I115" s="814"/>
    </row>
    <row r="116" spans="2:9" ht="15.75">
      <c r="B116" s="54"/>
      <c r="C116" s="54"/>
      <c r="D116" s="54"/>
      <c r="E116" s="54"/>
      <c r="F116" s="54"/>
      <c r="G116" s="54"/>
      <c r="H116" s="54"/>
      <c r="I116" s="54"/>
    </row>
    <row r="117" spans="2:9" ht="15">
      <c r="B117" s="76" t="s">
        <v>120</v>
      </c>
      <c r="C117" s="56"/>
      <c r="D117" s="56"/>
      <c r="E117" s="1"/>
      <c r="F117" s="1"/>
      <c r="G117" s="75"/>
      <c r="H117" s="56"/>
    </row>
    <row r="118" spans="2:9" ht="9" customHeight="1">
      <c r="B118" s="76"/>
      <c r="C118" s="56"/>
      <c r="D118" s="56"/>
      <c r="E118" s="1"/>
      <c r="F118" s="1"/>
      <c r="G118" s="75"/>
      <c r="H118" s="56"/>
    </row>
    <row r="119" spans="2:9" ht="49.5" customHeight="1">
      <c r="B119" s="823" t="s">
        <v>121</v>
      </c>
      <c r="C119" s="824"/>
      <c r="D119" s="824"/>
      <c r="E119" s="824"/>
      <c r="F119" s="1" t="s">
        <v>82</v>
      </c>
      <c r="G119" s="58">
        <v>47576.25</v>
      </c>
      <c r="H119" s="56"/>
    </row>
    <row r="120" spans="2:9" ht="14.25" customHeight="1">
      <c r="B120" s="74"/>
      <c r="C120" s="90"/>
      <c r="D120" s="90"/>
      <c r="E120" s="90"/>
      <c r="F120" s="1"/>
      <c r="G120" s="58"/>
      <c r="H120" s="56"/>
    </row>
    <row r="121" spans="2:9" ht="21" customHeight="1">
      <c r="B121" s="76"/>
      <c r="C121" s="56"/>
      <c r="D121" s="56"/>
      <c r="E121" s="91" t="s">
        <v>43</v>
      </c>
      <c r="F121" s="1" t="s">
        <v>82</v>
      </c>
      <c r="G121" s="58">
        <f>SUM(G119:G120)</f>
        <v>47576.25</v>
      </c>
      <c r="H121" s="56"/>
    </row>
    <row r="122" spans="2:9" ht="20.25" customHeight="1">
      <c r="B122" s="1" t="s">
        <v>101</v>
      </c>
      <c r="C122" s="56"/>
      <c r="D122" s="56"/>
      <c r="E122" s="56"/>
      <c r="F122" s="1" t="s">
        <v>82</v>
      </c>
      <c r="G122" s="58">
        <f>+G121*0.05</f>
        <v>2378.8125</v>
      </c>
      <c r="H122" s="56"/>
    </row>
    <row r="123" spans="2:9" ht="13.5" customHeight="1">
      <c r="B123" s="56"/>
      <c r="C123" s="56"/>
      <c r="D123" s="56"/>
      <c r="E123" s="56"/>
      <c r="F123" s="83"/>
      <c r="G123" s="92"/>
      <c r="H123" s="83"/>
    </row>
    <row r="124" spans="2:9" ht="6.75" customHeight="1">
      <c r="G124" s="54"/>
    </row>
    <row r="125" spans="2:9" ht="15.75">
      <c r="B125" s="48" t="s">
        <v>102</v>
      </c>
      <c r="E125" s="91" t="s">
        <v>44</v>
      </c>
      <c r="F125" s="1" t="s">
        <v>82</v>
      </c>
      <c r="G125" s="58">
        <f>+G121+G122</f>
        <v>49955.0625</v>
      </c>
      <c r="H125" s="1"/>
    </row>
    <row r="126" spans="2:9" ht="7.5" customHeight="1">
      <c r="F126" s="2"/>
      <c r="G126" s="93"/>
    </row>
    <row r="127" spans="2:9" ht="20.25" customHeight="1">
      <c r="E127" s="61" t="s">
        <v>112</v>
      </c>
      <c r="F127" s="2" t="s">
        <v>82</v>
      </c>
      <c r="G127" s="94">
        <v>49960</v>
      </c>
      <c r="H127" s="2" t="s">
        <v>114</v>
      </c>
    </row>
    <row r="131" spans="6:8" ht="15.75">
      <c r="F131" s="1"/>
      <c r="G131" s="63"/>
      <c r="H131" s="1"/>
    </row>
    <row r="132" spans="6:8" ht="15">
      <c r="F132" s="1"/>
      <c r="G132" s="1" t="s">
        <v>107</v>
      </c>
      <c r="H132" s="1"/>
    </row>
    <row r="133" spans="6:8" ht="15">
      <c r="F133" s="1"/>
      <c r="G133" s="65" t="s">
        <v>116</v>
      </c>
      <c r="H133" s="1"/>
    </row>
    <row r="134" spans="6:8" ht="15">
      <c r="F134" s="1"/>
      <c r="G134" s="1" t="s">
        <v>108</v>
      </c>
      <c r="H134" s="1"/>
    </row>
    <row r="135" spans="6:8" ht="15.75">
      <c r="F135" s="1"/>
      <c r="G135" s="66"/>
      <c r="H135" s="1"/>
    </row>
    <row r="136" spans="6:8" ht="15">
      <c r="F136" s="1"/>
      <c r="G136" s="1"/>
      <c r="H136" s="1"/>
    </row>
    <row r="137" spans="6:8" ht="15">
      <c r="F137" s="1"/>
      <c r="G137" s="1"/>
      <c r="H137" s="1"/>
    </row>
    <row r="138" spans="6:8" ht="15">
      <c r="F138" s="1"/>
      <c r="G138" s="1"/>
      <c r="H138" s="1"/>
    </row>
    <row r="163" spans="1:12" ht="15.75">
      <c r="A163" s="825" t="s">
        <v>72</v>
      </c>
      <c r="B163" s="825"/>
      <c r="C163" s="825"/>
      <c r="D163" s="825"/>
      <c r="E163" s="825"/>
      <c r="F163" s="825"/>
      <c r="G163" s="825"/>
      <c r="H163" s="825"/>
      <c r="I163" s="825"/>
      <c r="J163" s="826"/>
      <c r="K163" s="826"/>
      <c r="L163" s="1"/>
    </row>
    <row r="164" spans="1:12" ht="15">
      <c r="A164" s="809" t="s">
        <v>73</v>
      </c>
      <c r="B164" s="809"/>
      <c r="C164" s="809"/>
      <c r="D164" s="809"/>
      <c r="E164" s="809"/>
      <c r="F164" s="809"/>
      <c r="G164" s="809"/>
      <c r="H164" s="809"/>
      <c r="I164" s="809"/>
      <c r="J164" s="810"/>
      <c r="K164" s="1"/>
      <c r="L164" s="1"/>
    </row>
    <row r="165" spans="1:12" ht="21.75" customHeight="1">
      <c r="A165" s="64"/>
      <c r="B165" s="64"/>
      <c r="C165" s="64"/>
      <c r="D165" s="64"/>
      <c r="E165" s="64"/>
      <c r="F165" s="64"/>
      <c r="G165" s="64"/>
      <c r="H165" s="64"/>
      <c r="I165" s="1"/>
      <c r="J165" s="1"/>
      <c r="K165" s="1"/>
      <c r="L165" s="1"/>
    </row>
    <row r="166" spans="1:12" ht="15.75">
      <c r="A166" s="95"/>
      <c r="B166" s="73" t="s">
        <v>75</v>
      </c>
      <c r="C166" s="68"/>
      <c r="D166" s="68"/>
      <c r="E166" s="802" t="s">
        <v>122</v>
      </c>
      <c r="F166" s="802"/>
      <c r="G166" s="802"/>
      <c r="H166" s="802"/>
      <c r="I166" s="802"/>
      <c r="J166" s="802"/>
      <c r="K166" s="802"/>
      <c r="L166" s="802"/>
    </row>
    <row r="167" spans="1:12" ht="38.25" customHeight="1">
      <c r="A167" s="1"/>
      <c r="B167" s="1"/>
      <c r="C167" s="1"/>
      <c r="D167" s="1"/>
      <c r="E167" s="827" t="s">
        <v>123</v>
      </c>
      <c r="F167" s="827"/>
      <c r="G167" s="827"/>
      <c r="H167" s="827"/>
      <c r="I167" s="827"/>
      <c r="J167" s="827"/>
      <c r="K167" s="827"/>
      <c r="L167" s="827"/>
    </row>
    <row r="168" spans="1:12" ht="15.75">
      <c r="A168" s="1"/>
      <c r="B168" s="803"/>
      <c r="C168" s="810"/>
      <c r="D168" s="810"/>
      <c r="E168" s="805"/>
      <c r="F168" s="805"/>
      <c r="G168" s="805"/>
      <c r="H168" s="805"/>
      <c r="I168" s="823"/>
      <c r="J168" s="823"/>
      <c r="K168" s="826"/>
      <c r="L168" s="1"/>
    </row>
    <row r="169" spans="1:12" ht="15.75" thickBot="1">
      <c r="A169" s="1"/>
      <c r="B169" s="96"/>
      <c r="C169" s="96"/>
      <c r="D169" s="96"/>
      <c r="E169" s="96"/>
      <c r="F169" s="96"/>
      <c r="G169" s="96"/>
      <c r="H169" s="96"/>
      <c r="I169" s="96"/>
      <c r="J169" s="1"/>
      <c r="K169" s="1"/>
      <c r="L169" s="1"/>
    </row>
    <row r="170" spans="1:12" ht="16.5" thickTop="1">
      <c r="A170" s="1"/>
      <c r="B170" s="814"/>
      <c r="C170" s="814"/>
      <c r="D170" s="814"/>
      <c r="E170" s="814"/>
      <c r="F170" s="814"/>
      <c r="G170" s="814"/>
      <c r="H170" s="814"/>
      <c r="I170" s="814"/>
      <c r="J170" s="1"/>
      <c r="K170" s="1"/>
      <c r="L170" s="1"/>
    </row>
    <row r="171" spans="1:12" ht="15.75">
      <c r="A171" s="1"/>
      <c r="B171" s="54"/>
      <c r="C171" s="54"/>
      <c r="D171" s="54"/>
      <c r="E171" s="54"/>
      <c r="F171" s="54"/>
      <c r="G171" s="54"/>
      <c r="H171" s="54"/>
      <c r="I171" s="54"/>
      <c r="J171" s="1"/>
      <c r="K171" s="1"/>
      <c r="L171" s="1"/>
    </row>
    <row r="172" spans="1:12" ht="15.75">
      <c r="A172" s="1"/>
      <c r="B172" s="66" t="s">
        <v>111</v>
      </c>
      <c r="C172" s="1"/>
      <c r="D172" s="1"/>
      <c r="E172" s="1"/>
      <c r="F172" s="1"/>
      <c r="G172" s="58">
        <v>194800</v>
      </c>
      <c r="H172" s="1"/>
      <c r="I172" s="1"/>
      <c r="J172" s="1"/>
      <c r="K172" s="1"/>
      <c r="L172" s="1"/>
    </row>
    <row r="173" spans="1:12" ht="15">
      <c r="A173" s="1"/>
      <c r="B173" s="76"/>
      <c r="C173" s="1"/>
      <c r="D173" s="1"/>
      <c r="E173" s="1"/>
      <c r="F173" s="1"/>
      <c r="G173" s="58"/>
      <c r="H173" s="1"/>
      <c r="I173" s="1"/>
      <c r="J173" s="1"/>
      <c r="K173" s="1"/>
      <c r="L173" s="1"/>
    </row>
    <row r="174" spans="1:12" ht="15">
      <c r="A174" s="1"/>
      <c r="B174" s="76"/>
      <c r="C174" s="1"/>
      <c r="D174" s="1"/>
      <c r="E174" s="1"/>
      <c r="F174" s="1"/>
      <c r="G174" s="58"/>
      <c r="H174" s="1"/>
      <c r="I174" s="1"/>
      <c r="J174" s="1"/>
      <c r="K174" s="1"/>
      <c r="L174" s="1"/>
    </row>
    <row r="175" spans="1:12" ht="15.75">
      <c r="A175" s="1"/>
      <c r="B175" s="74"/>
      <c r="C175" s="55"/>
      <c r="D175" s="55"/>
      <c r="E175" s="55"/>
      <c r="F175" s="1"/>
      <c r="G175" s="58"/>
      <c r="H175" s="1"/>
      <c r="I175" s="1"/>
      <c r="J175" s="1"/>
      <c r="K175" s="1"/>
      <c r="L175" s="1"/>
    </row>
    <row r="176" spans="1:12" ht="15.75">
      <c r="A176" s="1"/>
      <c r="B176" s="2" t="s">
        <v>101</v>
      </c>
      <c r="C176" s="1"/>
      <c r="D176" s="1"/>
      <c r="E176" s="1"/>
      <c r="F176" s="68" t="s">
        <v>82</v>
      </c>
      <c r="G176" s="84">
        <f>G172*0.05</f>
        <v>9740</v>
      </c>
      <c r="H176" s="1"/>
      <c r="I176" s="1"/>
      <c r="J176" s="1"/>
      <c r="K176" s="1"/>
      <c r="L176" s="1"/>
    </row>
    <row r="177" spans="1:12" ht="15">
      <c r="A177" s="1"/>
      <c r="B177" s="1"/>
      <c r="C177" s="1"/>
      <c r="D177" s="1"/>
      <c r="E177" s="1"/>
      <c r="F177" s="60"/>
      <c r="G177" s="59"/>
      <c r="H177" s="60"/>
      <c r="I177" s="1"/>
      <c r="J177" s="1"/>
      <c r="K177" s="1"/>
      <c r="L177" s="1"/>
    </row>
    <row r="178" spans="1:12" ht="20.25" customHeight="1">
      <c r="A178" s="1"/>
      <c r="B178" s="1"/>
      <c r="C178" s="1"/>
      <c r="D178" s="1"/>
      <c r="E178" s="1"/>
      <c r="F178" s="1"/>
      <c r="G178" s="67"/>
      <c r="H178" s="84"/>
      <c r="I178" s="1"/>
      <c r="J178" s="1"/>
      <c r="K178" s="1"/>
      <c r="L178" s="1"/>
    </row>
    <row r="179" spans="1:12" ht="15.75">
      <c r="A179" s="1"/>
      <c r="B179" s="48" t="s">
        <v>102</v>
      </c>
      <c r="C179" s="1"/>
      <c r="D179" s="1"/>
      <c r="E179" s="68" t="s">
        <v>44</v>
      </c>
      <c r="F179" s="84" t="s">
        <v>82</v>
      </c>
      <c r="G179" s="84">
        <f>G172+G176</f>
        <v>204540</v>
      </c>
      <c r="H179" s="84"/>
      <c r="I179" s="1"/>
      <c r="J179" s="1"/>
      <c r="K179" s="1"/>
      <c r="L179" s="1"/>
    </row>
    <row r="180" spans="1:12" ht="15.75">
      <c r="A180" s="1"/>
      <c r="B180" s="48"/>
      <c r="C180" s="1"/>
      <c r="D180" s="1"/>
      <c r="E180" s="68"/>
      <c r="F180" s="84"/>
      <c r="G180" s="84"/>
      <c r="H180" s="84"/>
      <c r="I180" s="1"/>
      <c r="J180" s="1"/>
      <c r="K180" s="1"/>
      <c r="L180" s="1"/>
    </row>
    <row r="181" spans="1:12" ht="15.75">
      <c r="A181" s="1"/>
      <c r="B181" s="1"/>
      <c r="C181" s="1"/>
      <c r="D181" s="1"/>
      <c r="E181" s="1"/>
      <c r="F181" s="2"/>
      <c r="G181" s="63"/>
      <c r="H181" s="1"/>
      <c r="I181" s="1"/>
      <c r="J181" s="1"/>
      <c r="K181" s="1"/>
      <c r="L181" s="1"/>
    </row>
    <row r="182" spans="1:12" ht="15.75">
      <c r="A182" s="1"/>
      <c r="B182" s="1"/>
      <c r="C182" s="1"/>
      <c r="D182" s="1"/>
      <c r="E182" s="86" t="s">
        <v>112</v>
      </c>
      <c r="F182" s="73" t="s">
        <v>82</v>
      </c>
      <c r="G182" s="97" t="s">
        <v>124</v>
      </c>
      <c r="H182" s="73" t="s">
        <v>114</v>
      </c>
      <c r="I182" s="1"/>
      <c r="J182" s="1"/>
      <c r="K182" s="1"/>
      <c r="L182" s="1"/>
    </row>
    <row r="183" spans="1:12" ht="15">
      <c r="A183" s="1"/>
      <c r="B183" s="1"/>
      <c r="C183" s="1"/>
      <c r="D183" s="1"/>
      <c r="E183" s="1"/>
      <c r="F183" s="1"/>
      <c r="G183" s="1"/>
      <c r="H183" s="1"/>
      <c r="I183" s="1"/>
      <c r="J183" s="1"/>
      <c r="K183" s="1"/>
      <c r="L183" s="1"/>
    </row>
    <row r="184" spans="1:12" ht="15">
      <c r="A184" s="1"/>
      <c r="B184" s="1"/>
      <c r="C184" s="1"/>
      <c r="D184" s="1"/>
      <c r="E184" s="1"/>
      <c r="F184" s="1"/>
      <c r="G184" s="1"/>
      <c r="H184" s="1"/>
      <c r="I184" s="1"/>
      <c r="J184" s="1"/>
      <c r="K184" s="1"/>
      <c r="L184" s="1"/>
    </row>
    <row r="185" spans="1:12" ht="15">
      <c r="A185" s="1"/>
      <c r="B185" s="1"/>
      <c r="C185" s="1"/>
      <c r="D185" s="1"/>
      <c r="E185" s="1"/>
      <c r="F185" s="1"/>
      <c r="G185" s="1"/>
      <c r="H185" s="1"/>
      <c r="I185" s="1"/>
      <c r="J185" s="1"/>
      <c r="K185" s="1"/>
      <c r="L185" s="1"/>
    </row>
    <row r="186" spans="1:12" ht="15">
      <c r="A186" s="1"/>
      <c r="B186" s="1"/>
      <c r="C186" s="1"/>
      <c r="D186" s="1"/>
      <c r="E186" s="1"/>
      <c r="F186" s="1"/>
      <c r="G186" s="1"/>
      <c r="H186" s="1"/>
      <c r="I186" s="1"/>
      <c r="J186" s="1"/>
      <c r="K186" s="1"/>
      <c r="L186" s="1"/>
    </row>
    <row r="187" spans="1:12" ht="15">
      <c r="A187" s="1"/>
      <c r="B187" s="1"/>
      <c r="C187" s="1"/>
      <c r="D187" s="1"/>
      <c r="E187" s="1"/>
      <c r="F187" s="1"/>
      <c r="G187" s="1"/>
      <c r="H187" s="1"/>
      <c r="I187" s="1"/>
      <c r="J187" s="1"/>
      <c r="K187" s="1"/>
      <c r="L187" s="1"/>
    </row>
    <row r="188" spans="1:12" ht="15">
      <c r="A188" s="1"/>
      <c r="B188" s="1"/>
      <c r="C188" s="1"/>
      <c r="D188" s="1"/>
      <c r="E188" s="1"/>
      <c r="F188" s="1"/>
      <c r="G188" s="1"/>
      <c r="H188" s="1"/>
      <c r="I188" s="1"/>
      <c r="J188" s="1"/>
      <c r="K188" s="1"/>
      <c r="L188" s="1"/>
    </row>
    <row r="189" spans="1:12" ht="15">
      <c r="A189" s="1"/>
      <c r="B189" s="1"/>
      <c r="C189" s="1"/>
      <c r="D189" s="1"/>
      <c r="E189" s="1"/>
      <c r="F189" s="1"/>
      <c r="G189" s="1"/>
      <c r="H189" s="1"/>
      <c r="I189" s="1"/>
      <c r="J189" s="1"/>
      <c r="K189" s="1"/>
      <c r="L189" s="1"/>
    </row>
    <row r="190" spans="1:12" ht="15.75">
      <c r="A190" s="1"/>
      <c r="B190" s="1"/>
      <c r="C190" s="1"/>
      <c r="D190" s="1"/>
      <c r="E190" s="1"/>
      <c r="F190" s="1"/>
      <c r="G190" s="63"/>
      <c r="H190" s="1"/>
      <c r="I190" s="1"/>
      <c r="J190" s="1"/>
      <c r="K190" s="1"/>
      <c r="L190" s="1"/>
    </row>
    <row r="191" spans="1:12" ht="15">
      <c r="A191" s="1"/>
      <c r="B191" s="1"/>
      <c r="C191" s="1"/>
      <c r="D191" s="1"/>
      <c r="E191" s="1"/>
      <c r="F191" s="1"/>
      <c r="G191" s="1" t="s">
        <v>107</v>
      </c>
      <c r="H191" s="1"/>
      <c r="I191" s="1"/>
      <c r="J191" s="1"/>
      <c r="K191" s="1"/>
      <c r="L191" s="1"/>
    </row>
    <row r="192" spans="1:12" ht="15">
      <c r="A192" s="1"/>
      <c r="B192" s="1"/>
      <c r="C192" s="1"/>
      <c r="D192" s="1"/>
      <c r="E192" s="1"/>
      <c r="F192" s="1"/>
      <c r="G192" s="65" t="s">
        <v>116</v>
      </c>
      <c r="H192" s="1"/>
      <c r="I192" s="1"/>
      <c r="J192" s="1"/>
      <c r="K192" s="1"/>
      <c r="L192" s="1"/>
    </row>
    <row r="193" spans="1:12" ht="15">
      <c r="A193" s="1"/>
      <c r="B193" s="1"/>
      <c r="C193" s="1"/>
      <c r="D193" s="1"/>
      <c r="E193" s="1"/>
      <c r="F193" s="1"/>
      <c r="G193" s="1" t="s">
        <v>108</v>
      </c>
      <c r="H193" s="1"/>
      <c r="I193" s="1"/>
      <c r="J193" s="1"/>
      <c r="K193" s="1"/>
      <c r="L193" s="1"/>
    </row>
    <row r="194" spans="1:12" ht="15.75">
      <c r="A194" s="1"/>
      <c r="B194" s="1"/>
      <c r="C194" s="1"/>
      <c r="D194" s="1"/>
      <c r="E194" s="1"/>
      <c r="F194" s="1"/>
      <c r="G194" s="66"/>
      <c r="H194" s="1"/>
      <c r="I194" s="1"/>
      <c r="J194" s="1"/>
      <c r="K194" s="1"/>
      <c r="L194" s="1"/>
    </row>
    <row r="195" spans="1:12" ht="15">
      <c r="F195" s="1"/>
      <c r="G195" s="1"/>
      <c r="H195" s="1"/>
    </row>
    <row r="225" spans="2:15" ht="31.5" customHeight="1">
      <c r="B225" s="803"/>
      <c r="C225" s="804"/>
      <c r="D225" s="804"/>
      <c r="E225" s="822"/>
      <c r="F225" s="801"/>
      <c r="G225" s="801"/>
      <c r="H225" s="801"/>
      <c r="I225" s="801"/>
      <c r="J225" s="801"/>
      <c r="K225" s="801"/>
      <c r="L225" s="801"/>
      <c r="M225" s="98"/>
      <c r="N225" s="99"/>
      <c r="O225" s="100"/>
    </row>
    <row r="226" spans="2:15" ht="27.75" customHeight="1">
      <c r="B226" s="51"/>
      <c r="C226" s="51"/>
      <c r="D226" s="51"/>
      <c r="E226" s="51"/>
      <c r="F226" s="800"/>
      <c r="G226" s="801"/>
      <c r="H226" s="801"/>
      <c r="I226" s="801"/>
      <c r="J226" s="801"/>
      <c r="K226" s="801"/>
      <c r="L226" s="801"/>
      <c r="M226" s="49"/>
      <c r="N226" s="49"/>
    </row>
    <row r="227" spans="2:15" ht="22.5" customHeight="1"/>
    <row r="228" spans="2:15" ht="35.25" customHeight="1">
      <c r="F228" s="801"/>
      <c r="G228" s="801"/>
      <c r="H228" s="801"/>
      <c r="I228" s="801"/>
      <c r="J228" s="801"/>
      <c r="K228" s="801"/>
      <c r="L228" s="801"/>
      <c r="M228" s="801"/>
    </row>
    <row r="235" spans="2:15" ht="23.25" customHeight="1">
      <c r="E235" s="802"/>
      <c r="F235" s="801"/>
      <c r="G235" s="801"/>
      <c r="H235" s="801"/>
      <c r="I235" s="801"/>
      <c r="J235" s="801"/>
      <c r="K235" s="801"/>
      <c r="L235" s="801"/>
      <c r="M235" s="801"/>
      <c r="N235" s="801"/>
    </row>
    <row r="236" spans="2:15" ht="29.25" customHeight="1">
      <c r="E236" s="51"/>
      <c r="F236" s="800"/>
      <c r="G236" s="801"/>
      <c r="H236" s="801"/>
      <c r="I236" s="801"/>
      <c r="J236" s="801"/>
      <c r="K236" s="801"/>
      <c r="L236" s="49"/>
      <c r="M236" s="49"/>
      <c r="N236" s="49"/>
    </row>
    <row r="238" spans="2:15" ht="26.25" customHeight="1">
      <c r="E238" s="801"/>
      <c r="F238" s="801"/>
      <c r="G238" s="801"/>
      <c r="H238" s="801"/>
      <c r="I238" s="801"/>
      <c r="J238" s="801"/>
    </row>
  </sheetData>
  <mergeCells count="39">
    <mergeCell ref="C11:F11"/>
    <mergeCell ref="B9:D9"/>
    <mergeCell ref="E9:G9"/>
    <mergeCell ref="B13:F13"/>
    <mergeCell ref="A2:K2"/>
    <mergeCell ref="A3:K3"/>
    <mergeCell ref="A6:D6"/>
    <mergeCell ref="E6:K6"/>
    <mergeCell ref="B8:G8"/>
    <mergeCell ref="B170:I170"/>
    <mergeCell ref="B225:D225"/>
    <mergeCell ref="E225:L225"/>
    <mergeCell ref="E110:H110"/>
    <mergeCell ref="B115:I115"/>
    <mergeCell ref="B119:E119"/>
    <mergeCell ref="A163:K163"/>
    <mergeCell ref="A164:J164"/>
    <mergeCell ref="E166:L166"/>
    <mergeCell ref="E167:L167"/>
    <mergeCell ref="B168:D168"/>
    <mergeCell ref="E168:K168"/>
    <mergeCell ref="B109:D109"/>
    <mergeCell ref="E109:J109"/>
    <mergeCell ref="A48:K48"/>
    <mergeCell ref="A49:J49"/>
    <mergeCell ref="E51:L51"/>
    <mergeCell ref="E54:H54"/>
    <mergeCell ref="B58:I58"/>
    <mergeCell ref="B62:E62"/>
    <mergeCell ref="A104:J104"/>
    <mergeCell ref="A105:J105"/>
    <mergeCell ref="E52:J52"/>
    <mergeCell ref="B53:D53"/>
    <mergeCell ref="E53:K53"/>
    <mergeCell ref="F226:L226"/>
    <mergeCell ref="F228:M228"/>
    <mergeCell ref="E235:N235"/>
    <mergeCell ref="F236:K236"/>
    <mergeCell ref="E238:J238"/>
  </mergeCells>
  <pageMargins left="1.2598425196850394" right="0.51181102362204722" top="0.51181102362204722" bottom="0.51181102362204722" header="0.51181102362204722" footer="0.51181102362204722"/>
  <pageSetup paperSize="9" scale="80" orientation="portrait" horizontalDpi="300" verticalDpi="300" r:id="rId1"/>
  <headerFooter alignWithMargins="0"/>
  <rowBreaks count="3" manualBreakCount="3">
    <brk id="45" max="10" man="1"/>
    <brk id="99" max="16383" man="1"/>
    <brk id="160" max="10" man="1"/>
  </rowBreaks>
  <colBreaks count="1" manualBreakCount="1">
    <brk id="12" max="252" man="1"/>
  </colBreaks>
</worksheet>
</file>

<file path=xl/worksheets/sheet2.xml><?xml version="1.0" encoding="utf-8"?>
<worksheet xmlns="http://schemas.openxmlformats.org/spreadsheetml/2006/main" xmlns:r="http://schemas.openxmlformats.org/officeDocument/2006/relationships">
  <dimension ref="A1:L56"/>
  <sheetViews>
    <sheetView view="pageBreakPreview" topLeftCell="A7" zoomScale="60" zoomScaleNormal="75" workbookViewId="0">
      <selection activeCell="Q24" sqref="Q24"/>
    </sheetView>
  </sheetViews>
  <sheetFormatPr defaultRowHeight="12.75"/>
  <cols>
    <col min="1" max="1" width="4.140625" customWidth="1"/>
    <col min="2" max="2" width="3.85546875" customWidth="1"/>
    <col min="4" max="4" width="13.7109375" customWidth="1"/>
    <col min="5" max="5" width="11.28515625" customWidth="1"/>
    <col min="6" max="6" width="10.42578125" customWidth="1"/>
    <col min="7" max="7" width="21" customWidth="1"/>
    <col min="8" max="8" width="14.5703125" customWidth="1"/>
    <col min="9" max="9" width="11.5703125" customWidth="1"/>
    <col min="10" max="10" width="9.140625" hidden="1" customWidth="1"/>
    <col min="11" max="11" width="2.85546875" customWidth="1"/>
  </cols>
  <sheetData>
    <row r="1" spans="1:12" ht="12" customHeight="1"/>
    <row r="2" spans="1:12" ht="20.25">
      <c r="A2" s="842" t="s">
        <v>72</v>
      </c>
      <c r="B2" s="842"/>
      <c r="C2" s="842"/>
      <c r="D2" s="842"/>
      <c r="E2" s="842"/>
      <c r="F2" s="842"/>
      <c r="G2" s="842"/>
      <c r="H2" s="842"/>
      <c r="I2" s="842"/>
      <c r="J2" s="842"/>
    </row>
    <row r="3" spans="1:12" ht="21.75" customHeight="1">
      <c r="A3" s="843" t="s">
        <v>73</v>
      </c>
      <c r="B3" s="843"/>
      <c r="C3" s="843"/>
      <c r="D3" s="843"/>
      <c r="E3" s="843"/>
      <c r="F3" s="843"/>
      <c r="G3" s="843"/>
      <c r="H3" s="843"/>
      <c r="I3" s="843"/>
      <c r="J3" s="843"/>
    </row>
    <row r="4" spans="1:12" ht="6" customHeight="1"/>
    <row r="5" spans="1:12" ht="20.25">
      <c r="A5" s="844" t="s">
        <v>74</v>
      </c>
      <c r="B5" s="844"/>
      <c r="C5" s="844"/>
      <c r="D5" s="844"/>
      <c r="E5" s="844"/>
      <c r="F5" s="844"/>
      <c r="G5" s="844"/>
      <c r="H5" s="844"/>
      <c r="I5" s="844"/>
      <c r="J5" s="844"/>
    </row>
    <row r="6" spans="1:12" ht="8.25" customHeight="1" thickBot="1">
      <c r="B6" s="42"/>
      <c r="C6" s="42"/>
      <c r="D6" s="42"/>
      <c r="E6" s="42"/>
      <c r="F6" s="42"/>
      <c r="G6" s="42"/>
      <c r="H6" s="42"/>
      <c r="I6" s="42"/>
      <c r="J6" s="43"/>
    </row>
    <row r="7" spans="1:12" ht="7.5" customHeight="1" thickTop="1"/>
    <row r="8" spans="1:12" ht="57.75" customHeight="1">
      <c r="B8" s="44" t="s">
        <v>75</v>
      </c>
      <c r="C8" s="45"/>
      <c r="D8" s="46"/>
      <c r="E8" s="802" t="str">
        <f>'Face B (2)'!E6:K6</f>
        <v>M&amp;R TO W/S/S AT NAGOTHANE INDUSTRIAL AREA… REPAIRING &amp; PAITING OF STAFF QUARTERS IN WTP COLONY AT NAGOTHANE</v>
      </c>
      <c r="F8" s="802"/>
      <c r="G8" s="802"/>
      <c r="H8" s="802"/>
      <c r="I8" s="802"/>
      <c r="J8" s="845"/>
      <c r="K8" s="845"/>
      <c r="L8" s="47"/>
    </row>
    <row r="9" spans="1:12" ht="12.75" hidden="1" customHeight="1">
      <c r="E9" s="802" t="s">
        <v>76</v>
      </c>
      <c r="F9" s="801"/>
      <c r="G9" s="801"/>
      <c r="H9" s="801"/>
      <c r="I9" s="801"/>
      <c r="J9" s="46"/>
      <c r="K9" s="46"/>
    </row>
    <row r="10" spans="1:12" ht="20.100000000000001" customHeight="1">
      <c r="B10" s="2" t="s">
        <v>77</v>
      </c>
      <c r="E10" s="1" t="s">
        <v>78</v>
      </c>
      <c r="F10" s="1" t="s">
        <v>79</v>
      </c>
      <c r="G10" s="50">
        <f>'Face B (2)'!H18</f>
        <v>5097100</v>
      </c>
      <c r="H10" s="2" t="s">
        <v>80</v>
      </c>
    </row>
    <row r="11" spans="1:12" ht="10.5" customHeight="1">
      <c r="E11" s="1"/>
      <c r="F11" s="1"/>
    </row>
    <row r="12" spans="1:12" ht="18.75" customHeight="1">
      <c r="E12" s="1" t="s">
        <v>81</v>
      </c>
      <c r="F12" s="1" t="s">
        <v>82</v>
      </c>
    </row>
    <row r="13" spans="1:12" ht="12" customHeight="1">
      <c r="B13" s="43"/>
      <c r="C13" s="43"/>
      <c r="D13" s="43"/>
      <c r="E13" s="43"/>
      <c r="F13" s="43"/>
      <c r="G13" s="43"/>
      <c r="H13" s="43"/>
      <c r="I13" s="43"/>
      <c r="J13" s="43"/>
      <c r="K13" s="51"/>
    </row>
    <row r="14" spans="1:12" ht="10.5" customHeight="1"/>
    <row r="15" spans="1:12" ht="15.75">
      <c r="B15" s="2" t="s">
        <v>83</v>
      </c>
      <c r="C15" s="2"/>
      <c r="D15" s="2"/>
      <c r="E15" s="2"/>
      <c r="F15" s="840"/>
      <c r="G15" s="840"/>
      <c r="H15" s="840"/>
      <c r="I15" s="840"/>
      <c r="J15" s="47"/>
      <c r="K15" s="47"/>
    </row>
    <row r="16" spans="1:12" ht="15.75">
      <c r="B16" s="2" t="s">
        <v>84</v>
      </c>
      <c r="C16" s="2"/>
      <c r="D16" s="2"/>
      <c r="E16" s="2"/>
      <c r="F16" s="841"/>
      <c r="G16" s="841"/>
      <c r="H16" s="841"/>
      <c r="I16" s="841"/>
    </row>
    <row r="17" spans="2:11" ht="9.75" customHeight="1">
      <c r="B17" s="43"/>
      <c r="C17" s="43"/>
      <c r="D17" s="43"/>
      <c r="E17" s="43"/>
      <c r="F17" s="43"/>
      <c r="G17" s="43"/>
      <c r="H17" s="43"/>
      <c r="I17" s="43"/>
      <c r="J17" s="43"/>
      <c r="K17" s="51"/>
    </row>
    <row r="19" spans="2:11" ht="20.100000000000001" customHeight="1">
      <c r="B19" s="2" t="s">
        <v>85</v>
      </c>
      <c r="E19" s="1" t="s">
        <v>86</v>
      </c>
      <c r="F19" s="1" t="s">
        <v>87</v>
      </c>
      <c r="G19" s="1"/>
      <c r="H19" s="1"/>
    </row>
    <row r="20" spans="2:11" ht="20.100000000000001" customHeight="1">
      <c r="E20" s="1" t="s">
        <v>88</v>
      </c>
      <c r="F20" s="1"/>
      <c r="G20" s="1"/>
      <c r="H20" s="1"/>
    </row>
    <row r="21" spans="2:11" ht="20.100000000000001" customHeight="1">
      <c r="E21" s="1" t="s">
        <v>89</v>
      </c>
      <c r="F21" s="1"/>
      <c r="G21" s="1"/>
      <c r="H21" s="1"/>
    </row>
    <row r="22" spans="2:11" ht="20.100000000000001" customHeight="1">
      <c r="E22" s="1" t="s">
        <v>90</v>
      </c>
      <c r="F22" s="1"/>
      <c r="G22" s="1"/>
      <c r="H22" s="1"/>
    </row>
    <row r="23" spans="2:11" ht="10.5" customHeight="1">
      <c r="B23" s="43"/>
      <c r="C23" s="43"/>
      <c r="D23" s="43"/>
      <c r="E23" s="43"/>
      <c r="F23" s="43"/>
      <c r="G23" s="43"/>
      <c r="H23" s="43"/>
      <c r="I23" s="43"/>
      <c r="J23" s="43"/>
    </row>
    <row r="24" spans="2:11" ht="18" customHeight="1"/>
    <row r="25" spans="2:11" ht="15.75">
      <c r="B25" s="2" t="s">
        <v>91</v>
      </c>
      <c r="C25" s="1"/>
      <c r="D25" s="1"/>
      <c r="E25" s="1" t="s">
        <v>389</v>
      </c>
      <c r="F25" s="1"/>
      <c r="G25" s="1"/>
      <c r="H25" s="1"/>
    </row>
    <row r="26" spans="2:11" ht="26.25" customHeight="1">
      <c r="B26" s="1"/>
      <c r="C26" s="1"/>
      <c r="D26" s="1"/>
      <c r="E26" s="1" t="s">
        <v>93</v>
      </c>
      <c r="F26" s="1"/>
      <c r="G26" s="1"/>
      <c r="H26" s="1"/>
    </row>
    <row r="27" spans="2:11" ht="15" customHeight="1">
      <c r="B27" s="1"/>
      <c r="C27" s="1"/>
      <c r="D27" s="1"/>
      <c r="E27" s="1"/>
      <c r="F27" s="1"/>
      <c r="G27" s="1"/>
      <c r="H27" s="1"/>
    </row>
    <row r="28" spans="2:11" ht="15.75">
      <c r="B28" s="2" t="s">
        <v>94</v>
      </c>
      <c r="C28" s="1"/>
      <c r="D28" s="1"/>
      <c r="E28" s="1" t="s">
        <v>390</v>
      </c>
      <c r="F28" s="1"/>
      <c r="G28" s="1"/>
      <c r="H28" s="1" t="s">
        <v>92</v>
      </c>
    </row>
    <row r="29" spans="2:11" ht="24.75" customHeight="1">
      <c r="B29" s="1"/>
      <c r="C29" s="1"/>
      <c r="D29" s="1"/>
      <c r="E29" s="1" t="s">
        <v>95</v>
      </c>
      <c r="F29" s="1"/>
      <c r="G29" s="1"/>
      <c r="H29" s="1"/>
    </row>
    <row r="30" spans="2:11" ht="11.25" customHeight="1">
      <c r="B30" s="52"/>
      <c r="C30" s="52"/>
      <c r="D30" s="52"/>
      <c r="E30" s="52"/>
      <c r="F30" s="52"/>
      <c r="G30" s="52"/>
      <c r="H30" s="52"/>
      <c r="I30" s="43"/>
      <c r="J30" s="43"/>
    </row>
    <row r="31" spans="2:11" ht="15">
      <c r="B31" s="1"/>
      <c r="C31" s="1"/>
      <c r="D31" s="1"/>
      <c r="E31" s="1"/>
      <c r="F31" s="1"/>
      <c r="G31" s="1"/>
      <c r="H31" s="1"/>
    </row>
    <row r="32" spans="2:11" ht="15">
      <c r="B32" s="1"/>
      <c r="C32" s="1"/>
      <c r="D32" s="1"/>
      <c r="E32" s="1"/>
      <c r="F32" s="1"/>
      <c r="G32" s="1"/>
      <c r="H32" s="1"/>
    </row>
    <row r="33" spans="2:8" ht="6" customHeight="1">
      <c r="B33" s="1"/>
      <c r="C33" s="1"/>
      <c r="D33" s="1"/>
      <c r="E33" s="1"/>
      <c r="F33" s="1"/>
      <c r="G33" s="1"/>
      <c r="H33" s="1"/>
    </row>
    <row r="34" spans="2:8" ht="38.25" customHeight="1">
      <c r="B34" s="1"/>
      <c r="C34" s="1"/>
      <c r="D34" s="1"/>
      <c r="E34" s="1"/>
      <c r="F34" s="1"/>
      <c r="G34" s="1"/>
      <c r="H34" s="1"/>
    </row>
    <row r="35" spans="2:8" ht="15.75" customHeight="1">
      <c r="B35" s="1"/>
      <c r="C35" s="1"/>
      <c r="D35" s="1"/>
      <c r="E35" s="1" t="s">
        <v>96</v>
      </c>
      <c r="F35" s="1"/>
      <c r="G35" s="1"/>
      <c r="H35" s="1"/>
    </row>
    <row r="36" spans="2:8" ht="15">
      <c r="B36" s="1"/>
      <c r="C36" s="1"/>
      <c r="D36" s="1"/>
      <c r="E36" s="1"/>
      <c r="F36" s="1"/>
      <c r="G36" s="1"/>
      <c r="H36" s="1"/>
    </row>
    <row r="37" spans="2:8" ht="15">
      <c r="B37" s="1"/>
      <c r="C37" s="1"/>
      <c r="D37" s="1"/>
      <c r="E37" s="1"/>
      <c r="F37" s="1"/>
      <c r="G37" s="1"/>
      <c r="H37" s="1"/>
    </row>
    <row r="38" spans="2:8" ht="33.75" customHeight="1">
      <c r="B38" s="1"/>
      <c r="C38" s="1"/>
      <c r="D38" s="1"/>
      <c r="E38" s="1"/>
      <c r="F38" s="1"/>
      <c r="G38" s="1"/>
      <c r="H38" s="1"/>
    </row>
    <row r="39" spans="2:8" ht="21.75" customHeight="1">
      <c r="B39" s="1"/>
      <c r="C39" s="1"/>
      <c r="D39" s="1"/>
      <c r="E39" s="1" t="s">
        <v>97</v>
      </c>
      <c r="F39" s="1"/>
      <c r="G39" s="1"/>
      <c r="H39" s="1"/>
    </row>
    <row r="40" spans="2:8" ht="15">
      <c r="B40" s="1"/>
      <c r="C40" s="1"/>
      <c r="D40" s="1"/>
      <c r="E40" s="1"/>
      <c r="F40" s="1"/>
      <c r="G40" s="1"/>
      <c r="H40" s="1"/>
    </row>
    <row r="41" spans="2:8" ht="15">
      <c r="B41" s="1"/>
      <c r="C41" s="1"/>
      <c r="D41" s="1"/>
      <c r="E41" s="1"/>
      <c r="F41" s="1"/>
      <c r="G41" s="1"/>
      <c r="H41" s="1"/>
    </row>
    <row r="42" spans="2:8" ht="15">
      <c r="B42" s="1"/>
      <c r="C42" s="1"/>
      <c r="D42" s="1"/>
      <c r="E42" s="1"/>
      <c r="F42" s="1"/>
      <c r="G42" s="1"/>
      <c r="H42" s="1"/>
    </row>
    <row r="43" spans="2:8" ht="15">
      <c r="B43" s="1"/>
      <c r="C43" s="1"/>
      <c r="D43" s="1"/>
      <c r="E43" s="1"/>
      <c r="F43" s="1"/>
      <c r="G43" s="1"/>
      <c r="H43" s="1"/>
    </row>
    <row r="44" spans="2:8" ht="21.75" customHeight="1">
      <c r="B44" s="1"/>
      <c r="C44" s="1"/>
      <c r="D44" s="1"/>
      <c r="E44" s="1" t="s">
        <v>98</v>
      </c>
      <c r="F44" s="1"/>
      <c r="G44" s="1"/>
      <c r="H44" s="1"/>
    </row>
    <row r="45" spans="2:8" ht="15">
      <c r="B45" s="1"/>
      <c r="C45" s="1"/>
      <c r="D45" s="1"/>
      <c r="E45" s="1"/>
      <c r="F45" s="1"/>
      <c r="G45" s="1"/>
      <c r="H45" s="1"/>
    </row>
    <row r="46" spans="2:8" ht="15">
      <c r="B46" s="1"/>
      <c r="C46" s="1"/>
      <c r="D46" s="1"/>
      <c r="E46" s="1"/>
      <c r="F46" s="1"/>
      <c r="G46" s="1"/>
      <c r="H46" s="1"/>
    </row>
    <row r="47" spans="2:8" ht="15">
      <c r="B47" s="1"/>
      <c r="C47" s="1"/>
      <c r="D47" s="1"/>
      <c r="E47" s="1"/>
      <c r="F47" s="1"/>
      <c r="G47" s="1"/>
      <c r="H47" s="1"/>
    </row>
    <row r="48" spans="2:8" ht="31.5" customHeight="1">
      <c r="B48" s="1"/>
      <c r="C48" s="1"/>
      <c r="D48" s="1"/>
      <c r="E48" s="1"/>
      <c r="F48" s="1"/>
      <c r="G48" s="1"/>
      <c r="H48" s="1"/>
    </row>
    <row r="49" spans="2:8" ht="21" customHeight="1">
      <c r="B49" s="1"/>
      <c r="C49" s="1"/>
      <c r="D49" s="1"/>
      <c r="E49" s="1" t="s">
        <v>99</v>
      </c>
      <c r="F49" s="1"/>
      <c r="G49" s="1"/>
      <c r="H49" s="1"/>
    </row>
    <row r="50" spans="2:8" ht="15">
      <c r="B50" s="1"/>
      <c r="C50" s="1"/>
      <c r="D50" s="1"/>
      <c r="E50" s="1"/>
      <c r="F50" s="1"/>
      <c r="G50" s="1"/>
      <c r="H50" s="1"/>
    </row>
    <row r="51" spans="2:8" ht="15">
      <c r="B51" s="1"/>
      <c r="C51" s="1"/>
      <c r="D51" s="1"/>
      <c r="E51" s="1"/>
      <c r="F51" s="1"/>
      <c r="G51" s="1"/>
      <c r="H51" s="1"/>
    </row>
    <row r="52" spans="2:8" ht="15">
      <c r="B52" s="1"/>
      <c r="C52" s="1"/>
      <c r="D52" s="1"/>
      <c r="E52" s="1"/>
      <c r="F52" s="1"/>
      <c r="G52" s="1"/>
      <c r="H52" s="1"/>
    </row>
    <row r="53" spans="2:8" ht="15">
      <c r="B53" s="1"/>
      <c r="C53" s="1"/>
      <c r="D53" s="1"/>
      <c r="E53" s="1"/>
      <c r="F53" s="1"/>
      <c r="G53" s="1"/>
      <c r="H53" s="1"/>
    </row>
    <row r="54" spans="2:8" ht="15">
      <c r="B54" s="1"/>
      <c r="C54" s="1"/>
      <c r="D54" s="1"/>
      <c r="E54" s="1"/>
      <c r="F54" s="1"/>
      <c r="G54" s="1"/>
      <c r="H54" s="1"/>
    </row>
    <row r="55" spans="2:8" ht="15">
      <c r="B55" s="1"/>
      <c r="C55" s="1"/>
      <c r="D55" s="1"/>
      <c r="E55" s="1"/>
      <c r="F55" s="1"/>
      <c r="G55" s="1"/>
      <c r="H55" s="1"/>
    </row>
    <row r="56" spans="2:8" ht="15">
      <c r="B56" s="1"/>
      <c r="C56" s="1"/>
      <c r="D56" s="1"/>
      <c r="E56" s="1"/>
      <c r="F56" s="1"/>
      <c r="G56" s="1"/>
      <c r="H56" s="1"/>
    </row>
  </sheetData>
  <mergeCells count="6">
    <mergeCell ref="F15:I16"/>
    <mergeCell ref="A2:J2"/>
    <mergeCell ref="A3:J3"/>
    <mergeCell ref="A5:J5"/>
    <mergeCell ref="E8:K8"/>
    <mergeCell ref="E9:I9"/>
  </mergeCells>
  <pageMargins left="1.2598425196850394" right="0.51181102362204722" top="0.51181102362204722" bottom="0.51181102362204722" header="0.51181102362204722" footer="0.51181102362204722"/>
  <pageSetup paperSize="9" scale="64" orientation="portrait" horizontalDpi="300" verticalDpi="300" r:id="rId1"/>
  <headerFooter alignWithMargins="0"/>
</worksheet>
</file>

<file path=xl/worksheets/sheet3.xml><?xml version="1.0" encoding="utf-8"?>
<worksheet xmlns="http://schemas.openxmlformats.org/spreadsheetml/2006/main" xmlns:r="http://schemas.openxmlformats.org/officeDocument/2006/relationships">
  <dimension ref="A1:Q545"/>
  <sheetViews>
    <sheetView view="pageBreakPreview" topLeftCell="A385" zoomScale="85" zoomScaleNormal="70" zoomScaleSheetLayoutView="85" workbookViewId="0">
      <selection activeCell="G545" sqref="G545"/>
    </sheetView>
  </sheetViews>
  <sheetFormatPr defaultRowHeight="15"/>
  <cols>
    <col min="1" max="1" width="7.42578125" style="4" customWidth="1"/>
    <col min="2" max="2" width="13" bestFit="1" customWidth="1"/>
    <col min="3" max="3" width="29.7109375" customWidth="1"/>
    <col min="4" max="4" width="9.85546875" customWidth="1"/>
    <col min="5" max="5" width="10" customWidth="1"/>
    <col min="6" max="6" width="9.28515625" customWidth="1"/>
    <col min="7" max="7" width="8.85546875" bestFit="1" customWidth="1"/>
    <col min="8" max="8" width="12.140625" style="6" bestFit="1" customWidth="1"/>
    <col min="9" max="9" width="8.85546875" style="4" customWidth="1"/>
    <col min="10" max="10" width="11.140625" style="7" customWidth="1"/>
    <col min="11" max="11" width="13.7109375" style="7" bestFit="1" customWidth="1"/>
    <col min="12" max="12" width="59.85546875" customWidth="1"/>
  </cols>
  <sheetData>
    <row r="1" spans="1:16" ht="18.75" hidden="1" customHeight="1">
      <c r="A1" s="901" t="s">
        <v>7</v>
      </c>
      <c r="B1" s="902"/>
      <c r="C1" s="902"/>
      <c r="D1" s="902"/>
      <c r="E1" s="902"/>
      <c r="F1" s="902"/>
      <c r="G1" s="902"/>
      <c r="H1" s="902"/>
      <c r="I1" s="902"/>
      <c r="J1" s="148"/>
      <c r="K1" s="148"/>
    </row>
    <row r="2" spans="1:16" ht="18.75" customHeight="1">
      <c r="A2" s="139"/>
      <c r="B2" s="140"/>
      <c r="C2" s="140"/>
      <c r="D2" s="140"/>
      <c r="E2" s="140"/>
      <c r="F2" s="140"/>
      <c r="G2" s="140"/>
      <c r="H2" s="181"/>
      <c r="I2" s="181"/>
      <c r="J2" s="148"/>
      <c r="K2" s="148"/>
    </row>
    <row r="3" spans="1:16" ht="34.5" customHeight="1">
      <c r="A3" s="903" t="s">
        <v>34</v>
      </c>
      <c r="B3" s="904"/>
      <c r="C3" s="905" t="s">
        <v>258</v>
      </c>
      <c r="D3" s="905"/>
      <c r="E3" s="905"/>
      <c r="F3" s="905"/>
      <c r="G3" s="905"/>
      <c r="H3" s="905"/>
      <c r="I3" s="905"/>
      <c r="J3" s="146"/>
      <c r="K3" s="146"/>
    </row>
    <row r="4" spans="1:16" ht="18.75" customHeight="1">
      <c r="A4" s="139"/>
      <c r="B4" s="140"/>
      <c r="C4" s="140"/>
      <c r="D4" s="140"/>
      <c r="E4" s="140"/>
      <c r="F4" s="140"/>
      <c r="G4" s="140"/>
      <c r="H4" s="181"/>
      <c r="I4" s="181"/>
      <c r="J4" s="148"/>
      <c r="K4" s="148"/>
    </row>
    <row r="5" spans="1:16" ht="18.75" hidden="1" customHeight="1">
      <c r="A5" s="139"/>
      <c r="B5" s="140"/>
      <c r="C5" s="140"/>
      <c r="D5" s="140"/>
      <c r="E5" s="140"/>
      <c r="F5" s="140"/>
      <c r="G5" s="140"/>
      <c r="H5" s="181"/>
      <c r="I5" s="181"/>
      <c r="J5" s="148"/>
      <c r="K5" s="148"/>
    </row>
    <row r="6" spans="1:16" ht="36.75" hidden="1" customHeight="1">
      <c r="A6" s="903" t="s">
        <v>34</v>
      </c>
      <c r="B6" s="904"/>
      <c r="C6" s="905" t="s">
        <v>246</v>
      </c>
      <c r="D6" s="905"/>
      <c r="E6" s="905"/>
      <c r="F6" s="905"/>
      <c r="G6" s="905"/>
      <c r="H6" s="905"/>
      <c r="I6" s="905"/>
      <c r="J6" s="146"/>
      <c r="K6" s="146"/>
    </row>
    <row r="7" spans="1:16" ht="9.75" hidden="1" customHeight="1">
      <c r="A7" s="12"/>
      <c r="B7" s="13"/>
      <c r="C7" s="14"/>
      <c r="D7" s="14"/>
      <c r="E7" s="14"/>
      <c r="F7" s="14"/>
      <c r="G7" s="14"/>
      <c r="H7" s="182"/>
      <c r="I7" s="184"/>
      <c r="J7" s="14"/>
      <c r="K7" s="14"/>
    </row>
    <row r="8" spans="1:16" ht="12.75" hidden="1" customHeight="1">
      <c r="A8" s="15"/>
      <c r="B8" s="16"/>
      <c r="C8" s="17"/>
      <c r="D8" s="10"/>
      <c r="E8" s="10"/>
      <c r="F8" s="10"/>
      <c r="G8" s="10"/>
      <c r="H8" s="183"/>
      <c r="I8" s="40"/>
      <c r="J8" s="11"/>
      <c r="K8" s="11"/>
    </row>
    <row r="9" spans="1:16" ht="31.5">
      <c r="A9" s="18" t="s">
        <v>35</v>
      </c>
      <c r="B9" s="18" t="s">
        <v>36</v>
      </c>
      <c r="C9" s="19" t="s">
        <v>37</v>
      </c>
      <c r="D9" s="20" t="s">
        <v>38</v>
      </c>
      <c r="E9" s="21" t="s">
        <v>39</v>
      </c>
      <c r="F9" s="22" t="s">
        <v>40</v>
      </c>
      <c r="G9" s="21" t="s">
        <v>41</v>
      </c>
      <c r="H9" s="19" t="s">
        <v>42</v>
      </c>
      <c r="I9" s="18" t="s">
        <v>6</v>
      </c>
      <c r="J9" s="18" t="s">
        <v>261</v>
      </c>
      <c r="K9" s="18" t="s">
        <v>262</v>
      </c>
      <c r="L9" s="1"/>
      <c r="N9" s="887"/>
      <c r="O9" s="818"/>
      <c r="P9" s="818"/>
    </row>
    <row r="10" spans="1:16" ht="32.25" customHeight="1">
      <c r="A10" s="907">
        <v>1</v>
      </c>
      <c r="B10" s="39" t="s">
        <v>126</v>
      </c>
      <c r="C10" s="24" t="s">
        <v>125</v>
      </c>
      <c r="D10" s="186"/>
      <c r="E10" s="187"/>
      <c r="F10" s="36"/>
      <c r="G10" s="188"/>
      <c r="H10" s="189"/>
      <c r="I10" s="190"/>
      <c r="J10" s="191"/>
      <c r="K10" s="191"/>
      <c r="L10" s="1"/>
      <c r="N10" s="37"/>
      <c r="O10" s="38"/>
      <c r="P10" s="38"/>
    </row>
    <row r="11" spans="1:16" ht="15.75">
      <c r="A11" s="908"/>
      <c r="B11" s="41"/>
      <c r="C11" s="906" t="s">
        <v>259</v>
      </c>
      <c r="D11" s="192">
        <v>2</v>
      </c>
      <c r="E11" s="35">
        <v>16</v>
      </c>
      <c r="F11" s="36">
        <v>1.5</v>
      </c>
      <c r="G11" s="35">
        <v>0.5</v>
      </c>
      <c r="H11" s="193">
        <f t="shared" ref="H11:H16" si="0">D11*E11*F11*G11</f>
        <v>24</v>
      </c>
      <c r="I11" s="185" t="s">
        <v>365</v>
      </c>
      <c r="J11" s="151"/>
      <c r="K11" s="151"/>
      <c r="L11" s="1"/>
      <c r="N11" s="37"/>
      <c r="O11" s="38"/>
      <c r="P11" s="38"/>
    </row>
    <row r="12" spans="1:16" ht="15.75">
      <c r="A12" s="908"/>
      <c r="B12" s="41"/>
      <c r="C12" s="906"/>
      <c r="D12" s="192">
        <v>2</v>
      </c>
      <c r="E12" s="35">
        <v>15.5</v>
      </c>
      <c r="F12" s="36">
        <v>1.5</v>
      </c>
      <c r="G12" s="35">
        <v>0.5</v>
      </c>
      <c r="H12" s="193">
        <f t="shared" si="0"/>
        <v>23.25</v>
      </c>
      <c r="I12" s="185" t="s">
        <v>365</v>
      </c>
      <c r="J12" s="151"/>
      <c r="K12" s="151"/>
      <c r="L12" s="1"/>
      <c r="N12" s="37"/>
      <c r="O12" s="38"/>
      <c r="P12" s="38"/>
    </row>
    <row r="13" spans="1:16" ht="15.75">
      <c r="A13" s="908"/>
      <c r="B13" s="41"/>
      <c r="C13" s="163" t="s">
        <v>260</v>
      </c>
      <c r="D13" s="192">
        <v>2</v>
      </c>
      <c r="E13" s="35">
        <v>3</v>
      </c>
      <c r="F13" s="36">
        <v>1.5</v>
      </c>
      <c r="G13" s="35">
        <v>0.5</v>
      </c>
      <c r="H13" s="193">
        <f t="shared" si="0"/>
        <v>4.5</v>
      </c>
      <c r="I13" s="185" t="s">
        <v>365</v>
      </c>
      <c r="J13" s="151"/>
      <c r="K13" s="151"/>
      <c r="L13" s="1"/>
      <c r="N13" s="147"/>
      <c r="O13" s="145"/>
      <c r="P13" s="145"/>
    </row>
    <row r="14" spans="1:16" ht="15.75">
      <c r="A14" s="908"/>
      <c r="B14" s="41"/>
      <c r="C14" s="906" t="s">
        <v>132</v>
      </c>
      <c r="D14" s="192">
        <v>2</v>
      </c>
      <c r="E14" s="35">
        <v>21</v>
      </c>
      <c r="F14" s="36">
        <v>1.5</v>
      </c>
      <c r="G14" s="35">
        <v>0.5</v>
      </c>
      <c r="H14" s="193">
        <f t="shared" si="0"/>
        <v>31.5</v>
      </c>
      <c r="I14" s="185" t="s">
        <v>365</v>
      </c>
      <c r="J14" s="151"/>
      <c r="K14" s="151"/>
      <c r="L14" s="1"/>
      <c r="N14" s="147"/>
      <c r="O14" s="145"/>
      <c r="P14" s="145"/>
    </row>
    <row r="15" spans="1:16" ht="15.75">
      <c r="A15" s="908"/>
      <c r="B15" s="41"/>
      <c r="C15" s="906"/>
      <c r="D15" s="192">
        <v>2</v>
      </c>
      <c r="E15" s="35">
        <v>7.5</v>
      </c>
      <c r="F15" s="36">
        <v>1.5</v>
      </c>
      <c r="G15" s="35">
        <v>0.5</v>
      </c>
      <c r="H15" s="193">
        <f t="shared" si="0"/>
        <v>11.25</v>
      </c>
      <c r="I15" s="185" t="s">
        <v>365</v>
      </c>
      <c r="J15" s="151"/>
      <c r="K15" s="151"/>
      <c r="L15" s="1"/>
      <c r="N15" s="147"/>
      <c r="O15" s="145"/>
      <c r="P15" s="145"/>
    </row>
    <row r="16" spans="1:16" ht="15.75">
      <c r="A16" s="908"/>
      <c r="B16" s="41"/>
      <c r="C16" s="163" t="s">
        <v>260</v>
      </c>
      <c r="D16" s="192">
        <v>2</v>
      </c>
      <c r="E16" s="35">
        <v>3</v>
      </c>
      <c r="F16" s="36">
        <v>1.5</v>
      </c>
      <c r="G16" s="35">
        <v>0.5</v>
      </c>
      <c r="H16" s="193">
        <f t="shared" si="0"/>
        <v>4.5</v>
      </c>
      <c r="I16" s="185" t="s">
        <v>365</v>
      </c>
      <c r="J16" s="151"/>
      <c r="K16" s="151"/>
      <c r="L16" s="1"/>
      <c r="N16" s="147"/>
      <c r="O16" s="145"/>
      <c r="P16" s="145"/>
    </row>
    <row r="17" spans="1:16" ht="15.75">
      <c r="A17" s="908"/>
      <c r="B17" s="41"/>
      <c r="C17" s="163"/>
      <c r="D17" s="194"/>
      <c r="E17" s="194"/>
      <c r="F17" s="194"/>
      <c r="G17" s="194"/>
      <c r="H17" s="195"/>
      <c r="I17" s="185" t="s">
        <v>365</v>
      </c>
      <c r="J17" s="151"/>
      <c r="K17" s="151"/>
      <c r="L17" s="1"/>
      <c r="N17" s="37"/>
      <c r="O17" s="38"/>
      <c r="P17" s="38"/>
    </row>
    <row r="18" spans="1:16" ht="15.75">
      <c r="A18" s="908"/>
      <c r="B18" s="41"/>
      <c r="C18" s="30"/>
      <c r="D18" s="192"/>
      <c r="E18" s="35"/>
      <c r="F18" s="888" t="s">
        <v>43</v>
      </c>
      <c r="G18" s="889"/>
      <c r="H18" s="193">
        <f>SUM(H11:H16)</f>
        <v>99</v>
      </c>
      <c r="I18" s="185" t="s">
        <v>365</v>
      </c>
      <c r="J18" s="151"/>
      <c r="K18" s="151"/>
      <c r="L18" s="1"/>
      <c r="N18" s="37"/>
      <c r="O18" s="38"/>
      <c r="P18" s="38"/>
    </row>
    <row r="19" spans="1:16" ht="15.75">
      <c r="A19" s="908"/>
      <c r="B19" s="41"/>
      <c r="C19" s="30"/>
      <c r="D19" s="192"/>
      <c r="E19" s="35"/>
      <c r="F19" s="911" t="s">
        <v>10</v>
      </c>
      <c r="G19" s="912"/>
      <c r="H19" s="189">
        <f>ROUNDUP(H18,0)</f>
        <v>99</v>
      </c>
      <c r="I19" s="185" t="s">
        <v>365</v>
      </c>
      <c r="J19" s="151">
        <v>150</v>
      </c>
      <c r="K19" s="151">
        <f>J19*H19</f>
        <v>14850</v>
      </c>
      <c r="L19" s="1"/>
      <c r="N19" s="37"/>
      <c r="O19" s="38"/>
      <c r="P19" s="38"/>
    </row>
    <row r="20" spans="1:16" ht="15.75">
      <c r="A20" s="196"/>
      <c r="B20" s="41"/>
      <c r="C20" s="161"/>
      <c r="D20" s="34"/>
      <c r="E20" s="36"/>
      <c r="F20" s="197"/>
      <c r="G20" s="198"/>
      <c r="H20" s="189"/>
      <c r="I20" s="189"/>
      <c r="J20" s="199"/>
      <c r="K20" s="199"/>
      <c r="L20" s="1"/>
      <c r="N20" s="37"/>
      <c r="O20" s="38"/>
      <c r="P20" s="38"/>
    </row>
    <row r="21" spans="1:16" ht="60.75" customHeight="1">
      <c r="A21" s="908">
        <v>2</v>
      </c>
      <c r="B21" s="39" t="s">
        <v>134</v>
      </c>
      <c r="C21" s="30" t="s">
        <v>135</v>
      </c>
      <c r="D21" s="34"/>
      <c r="E21" s="35"/>
      <c r="F21" s="204"/>
      <c r="G21" s="200"/>
      <c r="H21" s="193"/>
      <c r="I21" s="185"/>
      <c r="J21" s="151"/>
      <c r="K21" s="151"/>
      <c r="L21" s="1"/>
      <c r="N21" s="37"/>
      <c r="O21" s="38"/>
      <c r="P21" s="38"/>
    </row>
    <row r="22" spans="1:16" ht="15.75">
      <c r="A22" s="908"/>
      <c r="B22" s="39"/>
      <c r="C22" s="906" t="s">
        <v>259</v>
      </c>
      <c r="D22" s="34">
        <v>2</v>
      </c>
      <c r="E22" s="35">
        <v>16</v>
      </c>
      <c r="F22" s="36">
        <v>1.5</v>
      </c>
      <c r="G22" s="35"/>
      <c r="H22" s="193">
        <f>F22*E22*D22</f>
        <v>48</v>
      </c>
      <c r="I22" s="185" t="s">
        <v>365</v>
      </c>
      <c r="J22" s="151"/>
      <c r="K22" s="151"/>
      <c r="L22" s="1"/>
      <c r="N22" s="147"/>
      <c r="O22" s="145"/>
      <c r="P22" s="145"/>
    </row>
    <row r="23" spans="1:16" ht="15.75">
      <c r="A23" s="908"/>
      <c r="B23" s="39"/>
      <c r="C23" s="906"/>
      <c r="D23" s="34">
        <v>2</v>
      </c>
      <c r="E23" s="35">
        <v>15.5</v>
      </c>
      <c r="F23" s="36">
        <v>1.5</v>
      </c>
      <c r="G23" s="35"/>
      <c r="H23" s="193">
        <f>F23*E23*D23</f>
        <v>46.5</v>
      </c>
      <c r="I23" s="185" t="s">
        <v>365</v>
      </c>
      <c r="J23" s="151"/>
      <c r="K23" s="151"/>
      <c r="L23" s="1"/>
      <c r="N23" s="147"/>
      <c r="O23" s="145"/>
      <c r="P23" s="145"/>
    </row>
    <row r="24" spans="1:16" ht="15.75">
      <c r="A24" s="908"/>
      <c r="B24" s="39"/>
      <c r="C24" s="906" t="s">
        <v>132</v>
      </c>
      <c r="D24" s="34">
        <v>2</v>
      </c>
      <c r="E24" s="35">
        <v>21</v>
      </c>
      <c r="F24" s="36">
        <v>1.5</v>
      </c>
      <c r="G24" s="35"/>
      <c r="H24" s="193">
        <f>D24*E24*F24</f>
        <v>63</v>
      </c>
      <c r="I24" s="185" t="s">
        <v>366</v>
      </c>
      <c r="J24" s="151"/>
      <c r="K24" s="151"/>
      <c r="L24" s="1"/>
      <c r="N24" s="37"/>
      <c r="O24" s="38"/>
      <c r="P24" s="38"/>
    </row>
    <row r="25" spans="1:16" ht="15.75">
      <c r="A25" s="908"/>
      <c r="B25" s="39"/>
      <c r="C25" s="906"/>
      <c r="D25" s="34">
        <v>2</v>
      </c>
      <c r="E25" s="35">
        <v>7.5</v>
      </c>
      <c r="F25" s="36">
        <v>1.5</v>
      </c>
      <c r="G25" s="35"/>
      <c r="H25" s="193">
        <f>D25*E25*F25</f>
        <v>22.5</v>
      </c>
      <c r="I25" s="185" t="s">
        <v>366</v>
      </c>
      <c r="J25" s="151"/>
      <c r="K25" s="151"/>
      <c r="L25" s="1"/>
      <c r="N25" s="37"/>
      <c r="O25" s="38"/>
      <c r="P25" s="38"/>
    </row>
    <row r="26" spans="1:16" ht="15.75">
      <c r="A26" s="908"/>
      <c r="B26" s="356"/>
      <c r="C26" s="348"/>
      <c r="D26" s="284"/>
      <c r="E26" s="35"/>
      <c r="F26" s="35"/>
      <c r="G26" s="35"/>
      <c r="H26" s="185"/>
      <c r="I26" s="185"/>
      <c r="J26" s="28"/>
      <c r="K26" s="201"/>
      <c r="L26" s="1"/>
      <c r="N26" s="156"/>
      <c r="O26" s="155"/>
      <c r="P26" s="155"/>
    </row>
    <row r="27" spans="1:16" ht="20.25" customHeight="1">
      <c r="A27" s="908"/>
      <c r="B27" s="39"/>
      <c r="C27" s="101" t="s">
        <v>276</v>
      </c>
      <c r="D27" s="34"/>
      <c r="E27" s="202"/>
      <c r="F27" s="203"/>
      <c r="G27" s="163"/>
      <c r="H27" s="193"/>
      <c r="I27" s="185"/>
      <c r="J27" s="151"/>
      <c r="K27" s="151"/>
      <c r="L27" s="1"/>
      <c r="N27" s="147"/>
      <c r="O27" s="145"/>
      <c r="P27" s="145"/>
    </row>
    <row r="28" spans="1:16" ht="20.25" customHeight="1">
      <c r="A28" s="908"/>
      <c r="B28" s="39"/>
      <c r="C28" s="101" t="s">
        <v>248</v>
      </c>
      <c r="D28" s="34"/>
      <c r="E28" s="35"/>
      <c r="F28" s="204"/>
      <c r="G28" s="200"/>
      <c r="H28" s="193"/>
      <c r="I28" s="185"/>
      <c r="J28" s="151"/>
      <c r="K28" s="151"/>
      <c r="L28" s="1"/>
      <c r="N28" s="153"/>
      <c r="O28" s="152"/>
      <c r="P28" s="152"/>
    </row>
    <row r="29" spans="1:16" ht="20.100000000000001" customHeight="1">
      <c r="A29" s="908"/>
      <c r="B29" s="39"/>
      <c r="C29" s="170" t="s">
        <v>149</v>
      </c>
      <c r="D29" s="34">
        <v>8</v>
      </c>
      <c r="E29" s="35">
        <v>3.05</v>
      </c>
      <c r="F29" s="205">
        <v>3.6</v>
      </c>
      <c r="G29" s="206"/>
      <c r="H29" s="193">
        <f>F29*E29*D29</f>
        <v>87.84</v>
      </c>
      <c r="I29" s="185" t="s">
        <v>366</v>
      </c>
      <c r="J29" s="151"/>
      <c r="K29" s="151"/>
      <c r="L29" s="1"/>
      <c r="N29" s="147"/>
      <c r="O29" s="145"/>
      <c r="P29" s="145"/>
    </row>
    <row r="30" spans="1:16" ht="20.100000000000001" customHeight="1">
      <c r="A30" s="908"/>
      <c r="B30" s="39"/>
      <c r="C30" s="170" t="s">
        <v>283</v>
      </c>
      <c r="D30" s="34">
        <v>8</v>
      </c>
      <c r="E30" s="35">
        <v>3.05</v>
      </c>
      <c r="F30" s="205">
        <v>3.6</v>
      </c>
      <c r="G30" s="206">
        <v>0.1</v>
      </c>
      <c r="H30" s="193">
        <f>F30*E30*D30*G30</f>
        <v>8.7840000000000007</v>
      </c>
      <c r="I30" s="185" t="s">
        <v>366</v>
      </c>
      <c r="J30" s="151"/>
      <c r="K30" s="151"/>
      <c r="L30" s="1"/>
      <c r="N30" s="156"/>
      <c r="O30" s="155"/>
      <c r="P30" s="155"/>
    </row>
    <row r="31" spans="1:16" ht="20.100000000000001" customHeight="1">
      <c r="A31" s="908"/>
      <c r="B31" s="39"/>
      <c r="C31" s="170" t="s">
        <v>159</v>
      </c>
      <c r="D31" s="34">
        <v>8</v>
      </c>
      <c r="E31" s="35">
        <v>3.05</v>
      </c>
      <c r="F31" s="205">
        <v>3.05</v>
      </c>
      <c r="G31" s="206"/>
      <c r="H31" s="193">
        <f t="shared" ref="H31:H39" si="1">F31*E31*D31</f>
        <v>74.419999999999987</v>
      </c>
      <c r="I31" s="185" t="s">
        <v>366</v>
      </c>
      <c r="J31" s="151"/>
      <c r="K31" s="151"/>
      <c r="L31" s="1"/>
      <c r="N31" s="147"/>
      <c r="O31" s="145"/>
      <c r="P31" s="145"/>
    </row>
    <row r="32" spans="1:16" ht="20.100000000000001" customHeight="1">
      <c r="A32" s="908"/>
      <c r="B32" s="39"/>
      <c r="C32" s="170" t="s">
        <v>283</v>
      </c>
      <c r="D32" s="34">
        <v>8</v>
      </c>
      <c r="E32" s="35">
        <v>3.05</v>
      </c>
      <c r="F32" s="205">
        <v>3.05</v>
      </c>
      <c r="G32" s="206">
        <v>0.1</v>
      </c>
      <c r="H32" s="193">
        <f>F32*E32*D32*G32</f>
        <v>7.4419999999999993</v>
      </c>
      <c r="I32" s="185" t="s">
        <v>366</v>
      </c>
      <c r="J32" s="151"/>
      <c r="K32" s="151"/>
      <c r="L32" s="1"/>
      <c r="N32" s="156"/>
      <c r="O32" s="155"/>
      <c r="P32" s="155"/>
    </row>
    <row r="33" spans="1:17" ht="20.100000000000001" customHeight="1">
      <c r="A33" s="908"/>
      <c r="B33" s="39"/>
      <c r="C33" s="170" t="s">
        <v>150</v>
      </c>
      <c r="D33" s="34">
        <v>8</v>
      </c>
      <c r="E33" s="35">
        <v>3.05</v>
      </c>
      <c r="F33" s="205">
        <v>2.12</v>
      </c>
      <c r="G33" s="357"/>
      <c r="H33" s="193">
        <f t="shared" si="1"/>
        <v>51.728000000000002</v>
      </c>
      <c r="I33" s="185" t="s">
        <v>366</v>
      </c>
      <c r="J33" s="151"/>
      <c r="K33" s="151"/>
      <c r="L33" s="1"/>
      <c r="N33" s="147"/>
      <c r="O33" s="145"/>
      <c r="P33" s="145"/>
    </row>
    <row r="34" spans="1:17" ht="20.100000000000001" customHeight="1">
      <c r="A34" s="908"/>
      <c r="B34" s="39"/>
      <c r="C34" s="170" t="s">
        <v>283</v>
      </c>
      <c r="D34" s="34">
        <v>8</v>
      </c>
      <c r="E34" s="35">
        <v>3.05</v>
      </c>
      <c r="F34" s="205">
        <v>2.12</v>
      </c>
      <c r="G34" s="206">
        <v>0.1</v>
      </c>
      <c r="H34" s="193">
        <f>F34*E34*D34*G34</f>
        <v>5.1728000000000005</v>
      </c>
      <c r="I34" s="185" t="s">
        <v>366</v>
      </c>
      <c r="J34" s="151"/>
      <c r="K34" s="151"/>
      <c r="L34" s="1"/>
      <c r="N34" s="156"/>
      <c r="O34" s="155"/>
      <c r="P34" s="155"/>
    </row>
    <row r="35" spans="1:17" ht="20.100000000000001" customHeight="1">
      <c r="A35" s="908"/>
      <c r="B35" s="39"/>
      <c r="C35" s="170" t="s">
        <v>152</v>
      </c>
      <c r="D35" s="34">
        <v>8</v>
      </c>
      <c r="E35" s="35">
        <v>1.9</v>
      </c>
      <c r="F35" s="205">
        <v>1.07</v>
      </c>
      <c r="G35" s="206"/>
      <c r="H35" s="193">
        <f t="shared" si="1"/>
        <v>16.263999999999999</v>
      </c>
      <c r="I35" s="185" t="s">
        <v>366</v>
      </c>
      <c r="J35" s="151"/>
      <c r="K35" s="151"/>
      <c r="L35" s="1"/>
      <c r="N35" s="147"/>
      <c r="O35" s="145"/>
      <c r="P35" s="145"/>
    </row>
    <row r="36" spans="1:17" ht="20.100000000000001" customHeight="1">
      <c r="A36" s="908"/>
      <c r="B36" s="39"/>
      <c r="C36" s="170" t="s">
        <v>282</v>
      </c>
      <c r="D36" s="34">
        <v>8</v>
      </c>
      <c r="E36" s="35">
        <v>1.9</v>
      </c>
      <c r="F36" s="205">
        <v>1.07</v>
      </c>
      <c r="G36" s="206">
        <v>1.5</v>
      </c>
      <c r="H36" s="193">
        <f>F36*E36*D36*G36</f>
        <v>24.396000000000001</v>
      </c>
      <c r="I36" s="185" t="s">
        <v>366</v>
      </c>
      <c r="J36" s="151"/>
      <c r="K36" s="151"/>
      <c r="L36" s="1"/>
      <c r="N36" s="27"/>
      <c r="O36" s="23"/>
      <c r="P36" s="180"/>
      <c r="Q36" s="51"/>
    </row>
    <row r="37" spans="1:17" ht="20.100000000000001" customHeight="1">
      <c r="A37" s="908"/>
      <c r="B37" s="39"/>
      <c r="C37" s="170" t="s">
        <v>153</v>
      </c>
      <c r="D37" s="34">
        <v>8</v>
      </c>
      <c r="E37" s="35">
        <v>1.08</v>
      </c>
      <c r="F37" s="205">
        <v>0.95</v>
      </c>
      <c r="G37" s="206"/>
      <c r="H37" s="193">
        <f t="shared" si="1"/>
        <v>8.2080000000000002</v>
      </c>
      <c r="I37" s="185" t="s">
        <v>366</v>
      </c>
      <c r="J37" s="151"/>
      <c r="K37" s="151"/>
      <c r="L37" s="1"/>
      <c r="N37" s="27"/>
      <c r="O37" s="23"/>
      <c r="P37" s="180"/>
      <c r="Q37" s="51"/>
    </row>
    <row r="38" spans="1:17" ht="20.100000000000001" customHeight="1">
      <c r="A38" s="908"/>
      <c r="B38" s="39"/>
      <c r="C38" s="170" t="s">
        <v>282</v>
      </c>
      <c r="D38" s="34">
        <v>8</v>
      </c>
      <c r="E38" s="35">
        <v>1.08</v>
      </c>
      <c r="F38" s="205">
        <v>0.95</v>
      </c>
      <c r="G38" s="206">
        <v>1.5</v>
      </c>
      <c r="H38" s="193">
        <f>F38*E38*D38*G38</f>
        <v>12.312000000000001</v>
      </c>
      <c r="I38" s="185" t="s">
        <v>366</v>
      </c>
      <c r="J38" s="151"/>
      <c r="K38" s="151"/>
      <c r="L38" s="1"/>
      <c r="N38" s="27"/>
      <c r="O38" s="23"/>
      <c r="P38" s="180"/>
      <c r="Q38" s="51"/>
    </row>
    <row r="39" spans="1:17" ht="20.100000000000001" customHeight="1">
      <c r="A39" s="908"/>
      <c r="B39" s="39"/>
      <c r="C39" s="170" t="s">
        <v>151</v>
      </c>
      <c r="D39" s="34">
        <v>8</v>
      </c>
      <c r="E39" s="35">
        <v>3.05</v>
      </c>
      <c r="F39" s="205">
        <v>2.14</v>
      </c>
      <c r="G39" s="206"/>
      <c r="H39" s="193">
        <f t="shared" si="1"/>
        <v>52.216000000000001</v>
      </c>
      <c r="I39" s="185" t="s">
        <v>366</v>
      </c>
      <c r="J39" s="151"/>
      <c r="K39" s="151"/>
      <c r="L39" s="1"/>
      <c r="N39" s="27"/>
      <c r="O39" s="23"/>
      <c r="P39" s="180"/>
      <c r="Q39" s="51"/>
    </row>
    <row r="40" spans="1:17" ht="23.25" customHeight="1">
      <c r="A40" s="908"/>
      <c r="B40" s="39"/>
      <c r="C40" s="170" t="s">
        <v>251</v>
      </c>
      <c r="D40" s="207">
        <v>1</v>
      </c>
      <c r="E40" s="185">
        <v>5.0999999999999996</v>
      </c>
      <c r="F40" s="205">
        <v>2.15</v>
      </c>
      <c r="G40" s="206"/>
      <c r="H40" s="193">
        <f>F40*E40*D40</f>
        <v>10.964999999999998</v>
      </c>
      <c r="I40" s="185" t="s">
        <v>366</v>
      </c>
      <c r="J40" s="151"/>
      <c r="K40" s="151"/>
      <c r="L40" s="1"/>
      <c r="N40" s="147"/>
      <c r="O40" s="145"/>
      <c r="P40" s="145"/>
    </row>
    <row r="41" spans="1:17" ht="30">
      <c r="A41" s="908"/>
      <c r="B41" s="39"/>
      <c r="C41" s="170" t="s">
        <v>252</v>
      </c>
      <c r="D41" s="207">
        <v>2</v>
      </c>
      <c r="E41" s="185">
        <v>2.5</v>
      </c>
      <c r="F41" s="205">
        <v>2.15</v>
      </c>
      <c r="G41" s="206"/>
      <c r="H41" s="193">
        <f t="shared" ref="H41:H44" si="2">F41*E41*D41</f>
        <v>10.75</v>
      </c>
      <c r="I41" s="185" t="s">
        <v>366</v>
      </c>
      <c r="J41" s="151"/>
      <c r="K41" s="151"/>
      <c r="L41" s="1"/>
      <c r="N41" s="147"/>
      <c r="O41" s="145"/>
      <c r="P41" s="145"/>
    </row>
    <row r="42" spans="1:17" ht="20.100000000000001" customHeight="1">
      <c r="A42" s="908"/>
      <c r="B42" s="39"/>
      <c r="C42" s="170" t="s">
        <v>154</v>
      </c>
      <c r="D42" s="207">
        <v>1</v>
      </c>
      <c r="E42" s="185">
        <v>5.2</v>
      </c>
      <c r="F42" s="205">
        <v>2.15</v>
      </c>
      <c r="G42" s="206"/>
      <c r="H42" s="193">
        <f t="shared" si="2"/>
        <v>11.18</v>
      </c>
      <c r="I42" s="185" t="s">
        <v>366</v>
      </c>
      <c r="J42" s="151"/>
      <c r="K42" s="151"/>
      <c r="L42" s="1"/>
      <c r="N42" s="147"/>
      <c r="O42" s="145"/>
      <c r="P42" s="145"/>
    </row>
    <row r="43" spans="1:17" ht="20.100000000000001" customHeight="1">
      <c r="A43" s="908"/>
      <c r="B43" s="39"/>
      <c r="C43" s="170" t="s">
        <v>155</v>
      </c>
      <c r="D43" s="207">
        <v>2</v>
      </c>
      <c r="E43" s="185">
        <v>2.15</v>
      </c>
      <c r="F43" s="205">
        <v>1.2</v>
      </c>
      <c r="G43" s="206"/>
      <c r="H43" s="193">
        <f t="shared" si="2"/>
        <v>5.1599999999999993</v>
      </c>
      <c r="I43" s="185" t="s">
        <v>366</v>
      </c>
      <c r="J43" s="151"/>
      <c r="K43" s="151"/>
      <c r="L43" s="1"/>
      <c r="N43" s="147"/>
      <c r="O43" s="145"/>
      <c r="P43" s="145"/>
    </row>
    <row r="44" spans="1:17" ht="20.100000000000001" customHeight="1">
      <c r="A44" s="908"/>
      <c r="B44" s="39"/>
      <c r="C44" s="170" t="s">
        <v>156</v>
      </c>
      <c r="D44" s="34">
        <v>4</v>
      </c>
      <c r="E44" s="185">
        <v>0.95</v>
      </c>
      <c r="F44" s="355">
        <v>3</v>
      </c>
      <c r="G44" s="215"/>
      <c r="H44" s="185">
        <f t="shared" si="2"/>
        <v>11.399999999999999</v>
      </c>
      <c r="I44" s="185" t="s">
        <v>366</v>
      </c>
      <c r="J44" s="211"/>
      <c r="K44" s="211"/>
      <c r="L44" s="1"/>
      <c r="N44" s="147"/>
      <c r="O44" s="145"/>
      <c r="P44" s="145"/>
    </row>
    <row r="45" spans="1:17" ht="15.75">
      <c r="A45" s="908"/>
      <c r="B45" s="39"/>
      <c r="C45" s="163"/>
      <c r="D45" s="34"/>
      <c r="E45" s="35"/>
      <c r="F45" s="36"/>
      <c r="G45" s="35"/>
      <c r="H45" s="193"/>
      <c r="I45" s="185"/>
      <c r="J45" s="151"/>
      <c r="K45" s="151"/>
      <c r="L45" s="1"/>
      <c r="N45" s="147"/>
      <c r="O45" s="145"/>
      <c r="P45" s="145"/>
    </row>
    <row r="46" spans="1:17" ht="15.75">
      <c r="A46" s="908"/>
      <c r="B46" s="39"/>
      <c r="C46" s="101" t="s">
        <v>147</v>
      </c>
      <c r="D46" s="34"/>
      <c r="E46" s="35"/>
      <c r="F46" s="204"/>
      <c r="G46" s="200"/>
      <c r="H46" s="193"/>
      <c r="I46" s="185"/>
      <c r="J46" s="151"/>
      <c r="K46" s="151"/>
      <c r="L46" s="1"/>
      <c r="N46" s="147"/>
      <c r="O46" s="145"/>
      <c r="P46" s="145"/>
    </row>
    <row r="47" spans="1:17" ht="15.75">
      <c r="A47" s="908"/>
      <c r="B47" s="39"/>
      <c r="C47" s="170" t="s">
        <v>149</v>
      </c>
      <c r="D47" s="34">
        <v>12</v>
      </c>
      <c r="E47" s="35">
        <v>3.05</v>
      </c>
      <c r="F47" s="205">
        <v>3.75</v>
      </c>
      <c r="G47" s="206"/>
      <c r="H47" s="193">
        <f t="shared" ref="H47:H56" si="3">F47*E47*D47</f>
        <v>137.25</v>
      </c>
      <c r="I47" s="185" t="s">
        <v>366</v>
      </c>
      <c r="J47" s="151"/>
      <c r="K47" s="151"/>
      <c r="L47" s="1"/>
      <c r="N47" s="147"/>
      <c r="O47" s="145"/>
      <c r="P47" s="145"/>
    </row>
    <row r="48" spans="1:17" ht="15.75">
      <c r="A48" s="908"/>
      <c r="B48" s="39"/>
      <c r="C48" s="170" t="s">
        <v>283</v>
      </c>
      <c r="D48" s="34">
        <v>12</v>
      </c>
      <c r="E48" s="35">
        <v>3.05</v>
      </c>
      <c r="F48" s="205">
        <v>3.75</v>
      </c>
      <c r="G48" s="206">
        <v>0.1</v>
      </c>
      <c r="H48" s="193">
        <f>F48*E48*D48*G48</f>
        <v>13.725000000000001</v>
      </c>
      <c r="I48" s="185" t="s">
        <v>366</v>
      </c>
      <c r="J48" s="151"/>
      <c r="K48" s="151"/>
      <c r="L48" s="1"/>
      <c r="N48" s="167"/>
      <c r="O48" s="162"/>
      <c r="P48" s="162"/>
    </row>
    <row r="49" spans="1:16" ht="15.75">
      <c r="A49" s="908"/>
      <c r="B49" s="39"/>
      <c r="C49" s="170" t="s">
        <v>150</v>
      </c>
      <c r="D49" s="34">
        <v>12</v>
      </c>
      <c r="E49" s="35">
        <v>3.05</v>
      </c>
      <c r="F49" s="205">
        <v>3.05</v>
      </c>
      <c r="G49" s="206"/>
      <c r="H49" s="193">
        <f t="shared" si="3"/>
        <v>111.62999999999998</v>
      </c>
      <c r="I49" s="185" t="s">
        <v>366</v>
      </c>
      <c r="J49" s="151"/>
      <c r="K49" s="151"/>
      <c r="L49" s="1"/>
      <c r="N49" s="147"/>
      <c r="O49" s="145"/>
      <c r="P49" s="145"/>
    </row>
    <row r="50" spans="1:16" ht="15.75">
      <c r="A50" s="908"/>
      <c r="B50" s="39"/>
      <c r="C50" s="170" t="s">
        <v>283</v>
      </c>
      <c r="D50" s="34">
        <v>8</v>
      </c>
      <c r="E50" s="35">
        <v>3.05</v>
      </c>
      <c r="F50" s="205">
        <v>3.05</v>
      </c>
      <c r="G50" s="206">
        <v>0.1</v>
      </c>
      <c r="H50" s="193">
        <f>F50*E50*D50*G50</f>
        <v>7.4419999999999993</v>
      </c>
      <c r="I50" s="185" t="s">
        <v>366</v>
      </c>
      <c r="J50" s="151"/>
      <c r="K50" s="151"/>
      <c r="L50" s="1"/>
      <c r="N50" s="167"/>
      <c r="O50" s="162"/>
      <c r="P50" s="162"/>
    </row>
    <row r="51" spans="1:16" ht="15.75">
      <c r="A51" s="908"/>
      <c r="B51" s="39"/>
      <c r="C51" s="170" t="s">
        <v>151</v>
      </c>
      <c r="D51" s="34">
        <v>12</v>
      </c>
      <c r="E51" s="35">
        <v>0.98</v>
      </c>
      <c r="F51" s="205">
        <v>2.52</v>
      </c>
      <c r="G51" s="206"/>
      <c r="H51" s="193">
        <f t="shared" si="3"/>
        <v>29.635199999999998</v>
      </c>
      <c r="I51" s="185" t="s">
        <v>366</v>
      </c>
      <c r="J51" s="151"/>
      <c r="K51" s="151"/>
      <c r="L51" s="1"/>
      <c r="N51" s="147"/>
      <c r="O51" s="145"/>
      <c r="P51" s="145"/>
    </row>
    <row r="52" spans="1:16" ht="15.75">
      <c r="A52" s="908"/>
      <c r="B52" s="39"/>
      <c r="C52" s="170" t="s">
        <v>152</v>
      </c>
      <c r="D52" s="34">
        <v>12</v>
      </c>
      <c r="E52" s="35">
        <v>1.22</v>
      </c>
      <c r="F52" s="205">
        <v>1.22</v>
      </c>
      <c r="G52" s="206"/>
      <c r="H52" s="193">
        <f t="shared" si="3"/>
        <v>17.860799999999998</v>
      </c>
      <c r="I52" s="185" t="s">
        <v>366</v>
      </c>
      <c r="J52" s="151"/>
      <c r="K52" s="151"/>
      <c r="L52" s="1"/>
      <c r="N52" s="147"/>
      <c r="O52" s="145"/>
      <c r="P52" s="145"/>
    </row>
    <row r="53" spans="1:16" ht="15.75">
      <c r="A53" s="908"/>
      <c r="B53" s="39"/>
      <c r="C53" s="170" t="s">
        <v>153</v>
      </c>
      <c r="D53" s="34">
        <v>12</v>
      </c>
      <c r="E53" s="35">
        <v>0.95</v>
      </c>
      <c r="F53" s="205">
        <v>1.22</v>
      </c>
      <c r="G53" s="206"/>
      <c r="H53" s="193">
        <f t="shared" si="3"/>
        <v>13.908000000000001</v>
      </c>
      <c r="I53" s="185" t="s">
        <v>366</v>
      </c>
      <c r="J53" s="151"/>
      <c r="K53" s="151"/>
      <c r="L53" s="1"/>
      <c r="N53" s="147"/>
      <c r="O53" s="145"/>
      <c r="P53" s="145"/>
    </row>
    <row r="54" spans="1:16" ht="18" customHeight="1">
      <c r="A54" s="908"/>
      <c r="B54" s="39"/>
      <c r="C54" s="170" t="s">
        <v>251</v>
      </c>
      <c r="D54" s="207">
        <v>1</v>
      </c>
      <c r="E54" s="185">
        <v>5.3070000000000004</v>
      </c>
      <c r="F54" s="205">
        <v>2.15</v>
      </c>
      <c r="G54" s="206"/>
      <c r="H54" s="193">
        <f t="shared" si="3"/>
        <v>11.41005</v>
      </c>
      <c r="I54" s="185" t="s">
        <v>366</v>
      </c>
      <c r="J54" s="151"/>
      <c r="K54" s="151"/>
      <c r="L54" s="1"/>
      <c r="N54" s="147"/>
      <c r="O54" s="145"/>
      <c r="P54" s="145"/>
    </row>
    <row r="55" spans="1:16" ht="30">
      <c r="A55" s="908"/>
      <c r="B55" s="39"/>
      <c r="C55" s="170" t="s">
        <v>250</v>
      </c>
      <c r="D55" s="207">
        <v>2</v>
      </c>
      <c r="E55" s="185">
        <v>3.74</v>
      </c>
      <c r="F55" s="205">
        <v>2.15</v>
      </c>
      <c r="G55" s="206"/>
      <c r="H55" s="193">
        <f t="shared" si="3"/>
        <v>16.082000000000001</v>
      </c>
      <c r="I55" s="185" t="s">
        <v>366</v>
      </c>
      <c r="J55" s="151"/>
      <c r="K55" s="151"/>
      <c r="L55" s="1"/>
      <c r="N55" s="147"/>
      <c r="O55" s="145"/>
      <c r="P55" s="145"/>
    </row>
    <row r="56" spans="1:16" ht="30">
      <c r="A56" s="908"/>
      <c r="B56" s="39"/>
      <c r="C56" s="170" t="s">
        <v>154</v>
      </c>
      <c r="D56" s="34">
        <v>1</v>
      </c>
      <c r="E56" s="35">
        <v>2.15</v>
      </c>
      <c r="F56" s="205">
        <v>5.2</v>
      </c>
      <c r="G56" s="206"/>
      <c r="H56" s="193">
        <f t="shared" si="3"/>
        <v>11.18</v>
      </c>
      <c r="I56" s="185" t="s">
        <v>366</v>
      </c>
      <c r="J56" s="151"/>
      <c r="K56" s="151"/>
      <c r="L56" s="1"/>
      <c r="N56" s="147"/>
      <c r="O56" s="145"/>
      <c r="P56" s="145"/>
    </row>
    <row r="57" spans="1:16" ht="15.75">
      <c r="A57" s="908"/>
      <c r="B57" s="39"/>
      <c r="C57" s="158" t="s">
        <v>155</v>
      </c>
      <c r="D57" s="212">
        <v>3</v>
      </c>
      <c r="E57" s="213">
        <v>2.15</v>
      </c>
      <c r="F57" s="214">
        <v>1.2</v>
      </c>
      <c r="G57" s="215"/>
      <c r="H57" s="193">
        <f>F57*E57*D57</f>
        <v>7.7399999999999984</v>
      </c>
      <c r="I57" s="185" t="s">
        <v>366</v>
      </c>
      <c r="J57" s="151"/>
      <c r="K57" s="151"/>
      <c r="L57" s="1"/>
      <c r="N57" s="147"/>
      <c r="O57" s="145"/>
      <c r="P57" s="145"/>
    </row>
    <row r="58" spans="1:16" ht="15.75">
      <c r="A58" s="908"/>
      <c r="B58" s="39"/>
      <c r="C58" s="158" t="s">
        <v>156</v>
      </c>
      <c r="D58" s="192">
        <v>6</v>
      </c>
      <c r="E58" s="202">
        <v>0.95</v>
      </c>
      <c r="F58" s="214">
        <v>3</v>
      </c>
      <c r="G58" s="216"/>
      <c r="H58" s="213">
        <f>F58*E58*D58</f>
        <v>17.099999999999998</v>
      </c>
      <c r="I58" s="213" t="s">
        <v>366</v>
      </c>
      <c r="J58" s="28"/>
      <c r="K58" s="151"/>
      <c r="L58" s="1"/>
      <c r="N58" s="147"/>
      <c r="O58" s="145"/>
      <c r="P58" s="145"/>
    </row>
    <row r="59" spans="1:16" ht="15.75">
      <c r="A59" s="908"/>
      <c r="B59" s="39"/>
      <c r="C59" s="30"/>
      <c r="D59" s="34"/>
      <c r="E59" s="35"/>
      <c r="F59" s="3"/>
      <c r="G59" s="194"/>
      <c r="H59" s="217"/>
      <c r="I59" s="218"/>
      <c r="J59" s="28"/>
      <c r="K59" s="151"/>
      <c r="L59" s="1"/>
      <c r="N59" s="147"/>
      <c r="O59" s="145"/>
      <c r="P59" s="145"/>
    </row>
    <row r="60" spans="1:16" ht="15.75">
      <c r="A60" s="908"/>
      <c r="B60" s="39"/>
      <c r="C60" s="25" t="s">
        <v>269</v>
      </c>
      <c r="D60" s="34"/>
      <c r="E60" s="35"/>
      <c r="F60" s="36"/>
      <c r="G60" s="35"/>
      <c r="H60" s="193"/>
      <c r="I60" s="185"/>
      <c r="J60" s="151"/>
      <c r="K60" s="151"/>
      <c r="L60" s="1"/>
      <c r="N60" s="37"/>
      <c r="O60" s="38"/>
      <c r="P60" s="38"/>
    </row>
    <row r="61" spans="1:16" ht="15.75">
      <c r="A61" s="908"/>
      <c r="B61" s="39"/>
      <c r="C61" s="159" t="s">
        <v>272</v>
      </c>
      <c r="D61" s="192">
        <v>8</v>
      </c>
      <c r="E61" s="35">
        <v>2.125</v>
      </c>
      <c r="F61" s="36">
        <v>0.7</v>
      </c>
      <c r="G61" s="35"/>
      <c r="H61" s="219">
        <f>D61*E61*F61</f>
        <v>11.899999999999999</v>
      </c>
      <c r="I61" s="185" t="s">
        <v>365</v>
      </c>
      <c r="J61" s="151"/>
      <c r="K61" s="151"/>
      <c r="L61" s="1"/>
      <c r="N61" s="153"/>
      <c r="O61" s="152"/>
      <c r="P61" s="152"/>
    </row>
    <row r="62" spans="1:16" ht="15.75">
      <c r="A62" s="908"/>
      <c r="B62" s="39"/>
      <c r="C62" s="159" t="s">
        <v>273</v>
      </c>
      <c r="D62" s="192">
        <v>12</v>
      </c>
      <c r="E62" s="35">
        <v>3.05</v>
      </c>
      <c r="F62" s="36">
        <v>0.7</v>
      </c>
      <c r="G62" s="35"/>
      <c r="H62" s="219">
        <f>D62*E62*F62</f>
        <v>25.619999999999994</v>
      </c>
      <c r="I62" s="185" t="s">
        <v>365</v>
      </c>
      <c r="J62" s="151"/>
      <c r="K62" s="151"/>
      <c r="L62" s="1"/>
      <c r="N62" s="153"/>
      <c r="O62" s="152"/>
      <c r="P62" s="152"/>
    </row>
    <row r="63" spans="1:16" ht="15.75">
      <c r="A63" s="908"/>
      <c r="B63" s="39"/>
      <c r="C63" s="160"/>
      <c r="D63" s="220"/>
      <c r="E63" s="220"/>
      <c r="F63" s="910" t="s">
        <v>44</v>
      </c>
      <c r="G63" s="893"/>
      <c r="H63" s="221">
        <f>SUM(H22:H62)</f>
        <v>1010.72085</v>
      </c>
      <c r="I63" s="190" t="s">
        <v>367</v>
      </c>
      <c r="J63" s="151"/>
      <c r="K63" s="151"/>
      <c r="L63" s="1"/>
      <c r="N63" s="153"/>
      <c r="O63" s="152"/>
      <c r="P63" s="152"/>
    </row>
    <row r="64" spans="1:16" ht="15.75">
      <c r="A64" s="909"/>
      <c r="B64" s="349"/>
      <c r="C64" s="350"/>
      <c r="D64" s="350"/>
      <c r="E64" s="350"/>
      <c r="F64" s="913" t="s">
        <v>10</v>
      </c>
      <c r="G64" s="914"/>
      <c r="H64" s="233">
        <f>ROUNDUP(H63,0)</f>
        <v>1011</v>
      </c>
      <c r="I64" s="234" t="s">
        <v>368</v>
      </c>
      <c r="J64" s="351">
        <v>45</v>
      </c>
      <c r="K64" s="351">
        <f>J64*H64</f>
        <v>45495</v>
      </c>
      <c r="L64" s="1"/>
      <c r="N64" s="153"/>
      <c r="O64" s="152"/>
      <c r="P64" s="152"/>
    </row>
    <row r="65" spans="1:16" ht="15.75">
      <c r="A65" s="223"/>
      <c r="B65" s="39"/>
      <c r="C65" s="352"/>
      <c r="D65" s="224"/>
      <c r="E65" s="352"/>
      <c r="F65" s="354"/>
      <c r="G65" s="353"/>
      <c r="H65" s="189"/>
      <c r="I65" s="229"/>
      <c r="J65" s="191"/>
      <c r="K65" s="151"/>
      <c r="L65" s="1"/>
      <c r="N65" s="156"/>
      <c r="O65" s="155"/>
      <c r="P65" s="155"/>
    </row>
    <row r="66" spans="1:16" ht="80.25" customHeight="1">
      <c r="A66" s="226">
        <v>3</v>
      </c>
      <c r="B66" s="39" t="s">
        <v>290</v>
      </c>
      <c r="C66" s="345" t="s">
        <v>287</v>
      </c>
      <c r="D66" s="224"/>
      <c r="E66" s="248"/>
      <c r="F66" s="225"/>
      <c r="G66" s="225"/>
      <c r="H66" s="189"/>
      <c r="I66" s="229"/>
      <c r="J66" s="191"/>
      <c r="K66" s="151"/>
      <c r="L66" s="1"/>
      <c r="N66" s="156"/>
      <c r="O66" s="155"/>
      <c r="P66" s="155"/>
    </row>
    <row r="67" spans="1:16" ht="15.75">
      <c r="A67" s="223"/>
      <c r="B67" s="39"/>
      <c r="C67" s="345" t="s">
        <v>288</v>
      </c>
      <c r="D67" s="224"/>
      <c r="E67" s="248"/>
      <c r="F67" s="225"/>
      <c r="G67" s="225"/>
      <c r="H67" s="189"/>
      <c r="I67" s="229"/>
      <c r="J67" s="191"/>
      <c r="K67" s="151"/>
      <c r="L67" s="1"/>
      <c r="N67" s="156"/>
      <c r="O67" s="155"/>
      <c r="P67" s="155"/>
    </row>
    <row r="68" spans="1:16" ht="15.75">
      <c r="A68" s="223"/>
      <c r="B68" s="39"/>
      <c r="C68" s="346" t="s">
        <v>289</v>
      </c>
      <c r="D68" s="224"/>
      <c r="E68" s="248"/>
      <c r="F68" s="225"/>
      <c r="G68" s="225"/>
      <c r="H68" s="189"/>
      <c r="I68" s="229"/>
      <c r="J68" s="191"/>
      <c r="K68" s="151"/>
      <c r="L68" s="1"/>
      <c r="N68" s="156"/>
      <c r="O68" s="155"/>
      <c r="P68" s="155"/>
    </row>
    <row r="69" spans="1:16" ht="15.75">
      <c r="A69" s="223"/>
      <c r="B69" s="39"/>
      <c r="C69" s="346" t="s">
        <v>291</v>
      </c>
      <c r="D69" s="224"/>
      <c r="E69" s="248"/>
      <c r="F69" s="225"/>
      <c r="G69" s="225" t="s">
        <v>292</v>
      </c>
      <c r="H69" s="189">
        <f>H64</f>
        <v>1011</v>
      </c>
      <c r="I69" s="229" t="s">
        <v>368</v>
      </c>
      <c r="J69" s="151">
        <v>1045</v>
      </c>
      <c r="K69" s="151">
        <f>J69*H69</f>
        <v>1056495</v>
      </c>
      <c r="L69" s="1"/>
      <c r="N69" s="156"/>
      <c r="O69" s="155"/>
      <c r="P69" s="155"/>
    </row>
    <row r="70" spans="1:16" ht="15.75">
      <c r="A70" s="223"/>
      <c r="B70" s="39"/>
      <c r="C70" s="248"/>
      <c r="D70" s="224"/>
      <c r="E70" s="248"/>
      <c r="F70" s="225"/>
      <c r="G70" s="225"/>
      <c r="H70" s="189"/>
      <c r="I70" s="229"/>
      <c r="J70" s="235"/>
      <c r="K70" s="151"/>
      <c r="L70" s="1"/>
      <c r="N70" s="156"/>
      <c r="O70" s="155"/>
      <c r="P70" s="155"/>
    </row>
    <row r="71" spans="1:16" ht="15.75">
      <c r="A71" s="223"/>
      <c r="B71" s="39"/>
      <c r="C71" s="248"/>
      <c r="D71" s="224"/>
      <c r="E71" s="248"/>
      <c r="F71" s="225"/>
      <c r="G71" s="225"/>
      <c r="H71" s="189"/>
      <c r="I71" s="229"/>
      <c r="J71" s="191"/>
      <c r="K71" s="151"/>
      <c r="L71" s="1"/>
      <c r="N71" s="156"/>
      <c r="O71" s="155"/>
      <c r="P71" s="155"/>
    </row>
    <row r="72" spans="1:16" ht="15.75">
      <c r="A72" s="228"/>
      <c r="B72" s="39"/>
      <c r="C72" s="30"/>
      <c r="D72" s="34"/>
      <c r="E72" s="35"/>
      <c r="F72" s="197"/>
      <c r="G72" s="188"/>
      <c r="H72" s="189"/>
      <c r="I72" s="229"/>
      <c r="J72" s="347"/>
      <c r="K72" s="227"/>
      <c r="L72" s="1"/>
      <c r="N72" s="37"/>
      <c r="O72" s="38"/>
      <c r="P72" s="38"/>
    </row>
    <row r="73" spans="1:16" ht="63" customHeight="1">
      <c r="A73" s="231">
        <v>4</v>
      </c>
      <c r="B73" s="39" t="s">
        <v>136</v>
      </c>
      <c r="C73" s="30" t="s">
        <v>146</v>
      </c>
      <c r="D73" s="34"/>
      <c r="E73" s="35"/>
      <c r="F73" s="204"/>
      <c r="G73" s="200"/>
      <c r="H73" s="193"/>
      <c r="I73" s="185"/>
      <c r="J73" s="151"/>
      <c r="K73" s="151"/>
      <c r="L73" s="1"/>
      <c r="N73" s="37"/>
      <c r="O73" s="38"/>
      <c r="P73" s="38"/>
    </row>
    <row r="74" spans="1:16" ht="20.25" customHeight="1">
      <c r="A74" s="228"/>
      <c r="B74" s="39"/>
      <c r="C74" s="101" t="s">
        <v>248</v>
      </c>
      <c r="D74" s="34"/>
      <c r="E74" s="202"/>
      <c r="F74" s="203"/>
      <c r="G74" s="163"/>
      <c r="H74" s="193"/>
      <c r="I74" s="185"/>
      <c r="J74" s="151"/>
      <c r="K74" s="151"/>
      <c r="L74" s="1"/>
      <c r="N74" s="37"/>
      <c r="O74" s="38"/>
      <c r="P74" s="38"/>
    </row>
    <row r="75" spans="1:16" ht="20.100000000000001" customHeight="1">
      <c r="A75" s="228"/>
      <c r="B75" s="232" t="s">
        <v>284</v>
      </c>
      <c r="C75" s="101" t="s">
        <v>148</v>
      </c>
      <c r="D75" s="34"/>
      <c r="E75" s="35"/>
      <c r="F75" s="204"/>
      <c r="G75" s="200"/>
      <c r="H75" s="193"/>
      <c r="I75" s="185"/>
      <c r="J75" s="151"/>
      <c r="K75" s="151"/>
      <c r="L75" s="1"/>
      <c r="N75" s="37"/>
      <c r="O75" s="38"/>
      <c r="P75" s="38"/>
    </row>
    <row r="76" spans="1:16" ht="20.100000000000001" customHeight="1">
      <c r="A76" s="228"/>
      <c r="B76" s="39"/>
      <c r="C76" s="170" t="s">
        <v>149</v>
      </c>
      <c r="D76" s="34">
        <v>8</v>
      </c>
      <c r="E76" s="35">
        <v>3.05</v>
      </c>
      <c r="F76" s="205">
        <v>3.6</v>
      </c>
      <c r="G76" s="206"/>
      <c r="H76" s="193">
        <f t="shared" ref="H76:H86" si="4">F76*E76*D76</f>
        <v>87.84</v>
      </c>
      <c r="I76" s="185" t="s">
        <v>366</v>
      </c>
      <c r="J76" s="151"/>
      <c r="K76" s="151"/>
      <c r="L76" s="1"/>
      <c r="N76" s="37"/>
      <c r="O76" s="38"/>
      <c r="P76" s="38"/>
    </row>
    <row r="77" spans="1:16" ht="20.100000000000001" customHeight="1">
      <c r="A77" s="228"/>
      <c r="B77" s="39"/>
      <c r="C77" s="170" t="s">
        <v>159</v>
      </c>
      <c r="D77" s="34">
        <v>8</v>
      </c>
      <c r="E77" s="35">
        <v>3.05</v>
      </c>
      <c r="F77" s="205">
        <v>3.05</v>
      </c>
      <c r="G77" s="206"/>
      <c r="H77" s="193">
        <f t="shared" si="4"/>
        <v>74.419999999999987</v>
      </c>
      <c r="I77" s="185" t="s">
        <v>366</v>
      </c>
      <c r="J77" s="151"/>
      <c r="K77" s="151"/>
      <c r="L77" s="1"/>
      <c r="N77" s="37"/>
      <c r="O77" s="38"/>
      <c r="P77" s="38"/>
    </row>
    <row r="78" spans="1:16" ht="20.100000000000001" customHeight="1">
      <c r="A78" s="228"/>
      <c r="B78" s="39"/>
      <c r="C78" s="170" t="s">
        <v>150</v>
      </c>
      <c r="D78" s="34">
        <v>8</v>
      </c>
      <c r="E78" s="35">
        <v>3.05</v>
      </c>
      <c r="F78" s="205">
        <v>2.12</v>
      </c>
      <c r="G78" s="206"/>
      <c r="H78" s="193">
        <f t="shared" si="4"/>
        <v>51.728000000000002</v>
      </c>
      <c r="I78" s="185" t="s">
        <v>366</v>
      </c>
      <c r="J78" s="151"/>
      <c r="K78" s="151"/>
      <c r="L78" s="1"/>
      <c r="N78" s="37"/>
      <c r="O78" s="38"/>
      <c r="P78" s="38"/>
    </row>
    <row r="79" spans="1:16" ht="20.100000000000001" customHeight="1">
      <c r="A79" s="228"/>
      <c r="B79" s="39"/>
      <c r="C79" s="170" t="s">
        <v>152</v>
      </c>
      <c r="D79" s="34">
        <v>8</v>
      </c>
      <c r="E79" s="35">
        <v>1.9</v>
      </c>
      <c r="F79" s="205">
        <v>1.07</v>
      </c>
      <c r="G79" s="206"/>
      <c r="H79" s="193">
        <f t="shared" si="4"/>
        <v>16.263999999999999</v>
      </c>
      <c r="I79" s="185" t="s">
        <v>366</v>
      </c>
      <c r="J79" s="151"/>
      <c r="K79" s="151"/>
      <c r="L79" s="1"/>
      <c r="N79" s="37"/>
      <c r="O79" s="38"/>
      <c r="P79" s="38"/>
    </row>
    <row r="80" spans="1:16" ht="20.100000000000001" customHeight="1">
      <c r="A80" s="228"/>
      <c r="B80" s="39"/>
      <c r="C80" s="170" t="s">
        <v>153</v>
      </c>
      <c r="D80" s="34">
        <v>8</v>
      </c>
      <c r="E80" s="35">
        <v>1.08</v>
      </c>
      <c r="F80" s="205">
        <v>0.95</v>
      </c>
      <c r="G80" s="206"/>
      <c r="H80" s="193">
        <f t="shared" si="4"/>
        <v>8.2080000000000002</v>
      </c>
      <c r="I80" s="185" t="s">
        <v>366</v>
      </c>
      <c r="J80" s="151"/>
      <c r="K80" s="151"/>
      <c r="L80" s="1"/>
      <c r="N80" s="37"/>
      <c r="O80" s="38"/>
      <c r="P80" s="38"/>
    </row>
    <row r="81" spans="1:16" ht="20.100000000000001" customHeight="1">
      <c r="A81" s="228"/>
      <c r="B81" s="39"/>
      <c r="C81" s="170" t="s">
        <v>151</v>
      </c>
      <c r="D81" s="34">
        <v>8</v>
      </c>
      <c r="E81" s="35">
        <v>3.05</v>
      </c>
      <c r="F81" s="205">
        <v>2.14</v>
      </c>
      <c r="G81" s="206"/>
      <c r="H81" s="193">
        <f t="shared" si="4"/>
        <v>52.216000000000001</v>
      </c>
      <c r="I81" s="185" t="s">
        <v>366</v>
      </c>
      <c r="J81" s="151"/>
      <c r="K81" s="151"/>
      <c r="L81" s="1"/>
      <c r="N81" s="37"/>
      <c r="O81" s="38"/>
      <c r="P81" s="38"/>
    </row>
    <row r="82" spans="1:16" ht="21.75" customHeight="1">
      <c r="A82" s="228"/>
      <c r="B82" s="39"/>
      <c r="C82" s="170" t="s">
        <v>251</v>
      </c>
      <c r="D82" s="207">
        <v>1</v>
      </c>
      <c r="E82" s="185">
        <v>5.0999999999999996</v>
      </c>
      <c r="F82" s="205">
        <v>2.15</v>
      </c>
      <c r="G82" s="206"/>
      <c r="H82" s="193">
        <f>F82*E82*D82</f>
        <v>10.964999999999998</v>
      </c>
      <c r="I82" s="185" t="s">
        <v>366</v>
      </c>
      <c r="J82" s="151"/>
      <c r="K82" s="151"/>
      <c r="L82" s="1"/>
      <c r="N82" s="142"/>
      <c r="O82" s="141"/>
      <c r="P82" s="141"/>
    </row>
    <row r="83" spans="1:16" ht="30">
      <c r="A83" s="228"/>
      <c r="B83" s="39"/>
      <c r="C83" s="170" t="s">
        <v>252</v>
      </c>
      <c r="D83" s="207">
        <v>2</v>
      </c>
      <c r="E83" s="185">
        <v>2.5</v>
      </c>
      <c r="F83" s="205">
        <v>2.15</v>
      </c>
      <c r="G83" s="206"/>
      <c r="H83" s="193">
        <f t="shared" ref="H83" si="5">F83*E83*D83</f>
        <v>10.75</v>
      </c>
      <c r="I83" s="185" t="s">
        <v>366</v>
      </c>
      <c r="J83" s="151"/>
      <c r="K83" s="151"/>
      <c r="L83" s="1"/>
      <c r="N83" s="142"/>
      <c r="O83" s="141"/>
      <c r="P83" s="141"/>
    </row>
    <row r="84" spans="1:16" ht="20.100000000000001" customHeight="1">
      <c r="A84" s="228"/>
      <c r="B84" s="39"/>
      <c r="C84" s="170" t="s">
        <v>154</v>
      </c>
      <c r="D84" s="207">
        <v>1</v>
      </c>
      <c r="E84" s="185">
        <v>5.2</v>
      </c>
      <c r="F84" s="205">
        <v>2.15</v>
      </c>
      <c r="G84" s="206"/>
      <c r="H84" s="193">
        <f t="shared" si="4"/>
        <v>11.18</v>
      </c>
      <c r="I84" s="185" t="s">
        <v>366</v>
      </c>
      <c r="J84" s="151"/>
      <c r="K84" s="151"/>
      <c r="L84" s="1"/>
      <c r="N84" s="37"/>
      <c r="O84" s="38"/>
      <c r="P84" s="38"/>
    </row>
    <row r="85" spans="1:16" ht="20.100000000000001" customHeight="1">
      <c r="A85" s="228"/>
      <c r="B85" s="39"/>
      <c r="C85" s="170" t="s">
        <v>155</v>
      </c>
      <c r="D85" s="207">
        <v>2</v>
      </c>
      <c r="E85" s="185">
        <v>2.15</v>
      </c>
      <c r="F85" s="205">
        <v>1.2</v>
      </c>
      <c r="G85" s="206"/>
      <c r="H85" s="193">
        <f t="shared" si="4"/>
        <v>5.1599999999999993</v>
      </c>
      <c r="I85" s="185" t="s">
        <v>366</v>
      </c>
      <c r="J85" s="151"/>
      <c r="K85" s="151"/>
      <c r="L85" s="1"/>
      <c r="N85" s="37"/>
      <c r="O85" s="38"/>
      <c r="P85" s="38"/>
    </row>
    <row r="86" spans="1:16" ht="20.100000000000001" customHeight="1">
      <c r="A86" s="228"/>
      <c r="B86" s="39"/>
      <c r="C86" s="170" t="s">
        <v>156</v>
      </c>
      <c r="D86" s="207">
        <v>4</v>
      </c>
      <c r="E86" s="185">
        <v>0.95</v>
      </c>
      <c r="F86" s="208">
        <v>3</v>
      </c>
      <c r="G86" s="209"/>
      <c r="H86" s="210">
        <f t="shared" si="4"/>
        <v>11.399999999999999</v>
      </c>
      <c r="I86" s="275" t="s">
        <v>366</v>
      </c>
      <c r="J86" s="211"/>
      <c r="K86" s="211"/>
      <c r="L86" s="1"/>
      <c r="N86" s="37"/>
      <c r="O86" s="38"/>
      <c r="P86" s="38"/>
    </row>
    <row r="87" spans="1:16" ht="15.75">
      <c r="A87" s="228"/>
      <c r="B87" s="356"/>
      <c r="C87" s="348"/>
      <c r="D87" s="348"/>
      <c r="E87" s="3"/>
      <c r="F87" s="885" t="s">
        <v>157</v>
      </c>
      <c r="G87" s="886"/>
      <c r="H87" s="233">
        <f>SUM(H76:H86)</f>
        <v>340.13099999999997</v>
      </c>
      <c r="I87" s="234" t="s">
        <v>367</v>
      </c>
      <c r="J87" s="235"/>
      <c r="K87" s="235"/>
      <c r="L87" s="1"/>
      <c r="N87" s="37"/>
      <c r="O87" s="38"/>
      <c r="P87" s="38"/>
    </row>
    <row r="88" spans="1:16" ht="20.100000000000001" customHeight="1">
      <c r="A88" s="228"/>
      <c r="B88" s="39"/>
      <c r="C88" s="104"/>
      <c r="D88" s="299"/>
      <c r="E88" s="295"/>
      <c r="F88" s="890" t="s">
        <v>10</v>
      </c>
      <c r="G88" s="891"/>
      <c r="H88" s="237">
        <f>ROUNDUP(H87,0)</f>
        <v>341</v>
      </c>
      <c r="I88" s="358" t="s">
        <v>369</v>
      </c>
      <c r="J88" s="359"/>
      <c r="K88" s="351"/>
      <c r="L88" s="1"/>
      <c r="N88" s="37"/>
      <c r="O88" s="38"/>
      <c r="P88" s="38"/>
    </row>
    <row r="89" spans="1:16" ht="20.100000000000001" customHeight="1">
      <c r="A89" s="228"/>
      <c r="B89" s="232" t="s">
        <v>286</v>
      </c>
      <c r="C89" s="101" t="s">
        <v>147</v>
      </c>
      <c r="D89" s="34"/>
      <c r="E89" s="35"/>
      <c r="F89" s="204"/>
      <c r="G89" s="238"/>
      <c r="H89" s="193"/>
      <c r="I89" s="185"/>
      <c r="J89" s="151"/>
      <c r="K89" s="151"/>
      <c r="L89" s="1"/>
      <c r="N89" s="37"/>
      <c r="O89" s="38"/>
      <c r="P89" s="38"/>
    </row>
    <row r="90" spans="1:16" ht="20.100000000000001" customHeight="1">
      <c r="A90" s="228"/>
      <c r="B90" s="39"/>
      <c r="C90" s="101" t="s">
        <v>148</v>
      </c>
      <c r="D90" s="34"/>
      <c r="E90" s="35"/>
      <c r="F90" s="204"/>
      <c r="G90" s="238"/>
      <c r="H90" s="193"/>
      <c r="I90" s="185"/>
      <c r="J90" s="151"/>
      <c r="K90" s="151"/>
      <c r="L90" s="1"/>
      <c r="N90" s="37"/>
      <c r="O90" s="38"/>
      <c r="P90" s="38"/>
    </row>
    <row r="91" spans="1:16" ht="20.100000000000001" customHeight="1">
      <c r="A91" s="228"/>
      <c r="B91" s="39"/>
      <c r="C91" s="170" t="s">
        <v>149</v>
      </c>
      <c r="D91" s="34">
        <v>12</v>
      </c>
      <c r="E91" s="35">
        <v>3.05</v>
      </c>
      <c r="F91" s="205">
        <v>3.75</v>
      </c>
      <c r="G91" s="239"/>
      <c r="H91" s="193">
        <f t="shared" ref="H91:H100" si="6">F91*E91*D91</f>
        <v>137.25</v>
      </c>
      <c r="I91" s="185" t="s">
        <v>366</v>
      </c>
      <c r="J91" s="151"/>
      <c r="K91" s="151"/>
      <c r="L91" s="1"/>
      <c r="N91" s="37"/>
      <c r="O91" s="38"/>
      <c r="P91" s="38"/>
    </row>
    <row r="92" spans="1:16" ht="20.100000000000001" customHeight="1">
      <c r="A92" s="228"/>
      <c r="B92" s="39"/>
      <c r="C92" s="170" t="s">
        <v>150</v>
      </c>
      <c r="D92" s="34">
        <v>12</v>
      </c>
      <c r="E92" s="35">
        <v>3.05</v>
      </c>
      <c r="F92" s="205">
        <v>3.05</v>
      </c>
      <c r="G92" s="239"/>
      <c r="H92" s="193">
        <f t="shared" si="6"/>
        <v>111.62999999999998</v>
      </c>
      <c r="I92" s="185" t="s">
        <v>366</v>
      </c>
      <c r="J92" s="151"/>
      <c r="K92" s="151"/>
      <c r="L92" s="1"/>
      <c r="N92" s="37"/>
      <c r="O92" s="38"/>
      <c r="P92" s="38"/>
    </row>
    <row r="93" spans="1:16" ht="20.100000000000001" customHeight="1">
      <c r="A93" s="228"/>
      <c r="B93" s="39"/>
      <c r="C93" s="170" t="s">
        <v>151</v>
      </c>
      <c r="D93" s="34">
        <v>12</v>
      </c>
      <c r="E93" s="35">
        <v>0.98</v>
      </c>
      <c r="F93" s="205">
        <v>2.52</v>
      </c>
      <c r="G93" s="239"/>
      <c r="H93" s="193">
        <f t="shared" si="6"/>
        <v>29.635199999999998</v>
      </c>
      <c r="I93" s="185" t="s">
        <v>366</v>
      </c>
      <c r="J93" s="151"/>
      <c r="K93" s="151"/>
      <c r="L93" s="1"/>
      <c r="N93" s="37"/>
      <c r="O93" s="38"/>
      <c r="P93" s="38"/>
    </row>
    <row r="94" spans="1:16" ht="20.100000000000001" customHeight="1">
      <c r="A94" s="228"/>
      <c r="B94" s="39"/>
      <c r="C94" s="170" t="s">
        <v>152</v>
      </c>
      <c r="D94" s="34">
        <v>12</v>
      </c>
      <c r="E94" s="35">
        <v>1.22</v>
      </c>
      <c r="F94" s="205">
        <v>1.22</v>
      </c>
      <c r="G94" s="239"/>
      <c r="H94" s="193">
        <f t="shared" si="6"/>
        <v>17.860799999999998</v>
      </c>
      <c r="I94" s="185" t="s">
        <v>366</v>
      </c>
      <c r="J94" s="151"/>
      <c r="K94" s="151"/>
      <c r="L94" s="1"/>
      <c r="N94" s="37"/>
      <c r="O94" s="38"/>
      <c r="P94" s="38"/>
    </row>
    <row r="95" spans="1:16" ht="20.100000000000001" customHeight="1">
      <c r="A95" s="228"/>
      <c r="B95" s="39"/>
      <c r="C95" s="170" t="s">
        <v>153</v>
      </c>
      <c r="D95" s="34">
        <v>12</v>
      </c>
      <c r="E95" s="35">
        <v>0.95</v>
      </c>
      <c r="F95" s="205">
        <v>1.22</v>
      </c>
      <c r="G95" s="239"/>
      <c r="H95" s="193">
        <f t="shared" si="6"/>
        <v>13.908000000000001</v>
      </c>
      <c r="I95" s="185" t="s">
        <v>366</v>
      </c>
      <c r="J95" s="151"/>
      <c r="K95" s="151"/>
      <c r="L95" s="1"/>
      <c r="N95" s="37"/>
      <c r="O95" s="38"/>
      <c r="P95" s="38"/>
    </row>
    <row r="96" spans="1:16" ht="28.5" customHeight="1">
      <c r="A96" s="228"/>
      <c r="B96" s="39"/>
      <c r="C96" s="170" t="s">
        <v>251</v>
      </c>
      <c r="D96" s="207">
        <v>1</v>
      </c>
      <c r="E96" s="185">
        <v>5.3070000000000004</v>
      </c>
      <c r="F96" s="205">
        <v>2.15</v>
      </c>
      <c r="G96" s="239"/>
      <c r="H96" s="193">
        <f t="shared" si="6"/>
        <v>11.41005</v>
      </c>
      <c r="I96" s="185" t="s">
        <v>366</v>
      </c>
      <c r="J96" s="151"/>
      <c r="K96" s="151"/>
      <c r="L96" s="1"/>
      <c r="N96" s="37"/>
      <c r="O96" s="38"/>
      <c r="P96" s="38"/>
    </row>
    <row r="97" spans="1:16" ht="28.5" customHeight="1">
      <c r="A97" s="228"/>
      <c r="B97" s="39"/>
      <c r="C97" s="170" t="s">
        <v>250</v>
      </c>
      <c r="D97" s="207">
        <v>2</v>
      </c>
      <c r="E97" s="185">
        <v>3.74</v>
      </c>
      <c r="F97" s="205">
        <v>2.15</v>
      </c>
      <c r="G97" s="239"/>
      <c r="H97" s="193">
        <f t="shared" si="6"/>
        <v>16.082000000000001</v>
      </c>
      <c r="I97" s="185" t="s">
        <v>366</v>
      </c>
      <c r="J97" s="151"/>
      <c r="K97" s="151"/>
      <c r="L97" s="1"/>
      <c r="N97" s="142"/>
      <c r="O97" s="141"/>
      <c r="P97" s="141"/>
    </row>
    <row r="98" spans="1:16" ht="20.100000000000001" customHeight="1">
      <c r="A98" s="228"/>
      <c r="B98" s="39"/>
      <c r="C98" s="170" t="s">
        <v>154</v>
      </c>
      <c r="D98" s="34">
        <v>1</v>
      </c>
      <c r="E98" s="35">
        <v>2.15</v>
      </c>
      <c r="F98" s="205">
        <v>5.2</v>
      </c>
      <c r="G98" s="239"/>
      <c r="H98" s="193">
        <f t="shared" si="6"/>
        <v>11.18</v>
      </c>
      <c r="I98" s="185" t="s">
        <v>366</v>
      </c>
      <c r="J98" s="151"/>
      <c r="K98" s="151"/>
      <c r="L98" s="1"/>
      <c r="N98" s="37"/>
      <c r="O98" s="38"/>
      <c r="P98" s="38"/>
    </row>
    <row r="99" spans="1:16" ht="20.100000000000001" customHeight="1">
      <c r="A99" s="228"/>
      <c r="B99" s="39"/>
      <c r="C99" s="170" t="s">
        <v>155</v>
      </c>
      <c r="D99" s="212">
        <v>3</v>
      </c>
      <c r="E99" s="185">
        <v>2.15</v>
      </c>
      <c r="F99" s="205">
        <v>1.2</v>
      </c>
      <c r="G99" s="239"/>
      <c r="H99" s="193">
        <f t="shared" si="6"/>
        <v>7.7399999999999984</v>
      </c>
      <c r="I99" s="185" t="s">
        <v>366</v>
      </c>
      <c r="J99" s="151"/>
      <c r="K99" s="151"/>
      <c r="L99" s="1"/>
      <c r="N99" s="37"/>
      <c r="O99" s="38"/>
      <c r="P99" s="38"/>
    </row>
    <row r="100" spans="1:16" ht="20.100000000000001" customHeight="1">
      <c r="A100" s="228"/>
      <c r="B100" s="39"/>
      <c r="C100" s="158" t="s">
        <v>156</v>
      </c>
      <c r="D100" s="192">
        <v>6</v>
      </c>
      <c r="E100" s="202">
        <v>0.95</v>
      </c>
      <c r="F100" s="214">
        <v>3</v>
      </c>
      <c r="G100" s="240"/>
      <c r="H100" s="210">
        <f t="shared" si="6"/>
        <v>17.099999999999998</v>
      </c>
      <c r="I100" s="185" t="s">
        <v>366</v>
      </c>
      <c r="J100" s="211"/>
      <c r="K100" s="211"/>
      <c r="L100" s="1"/>
      <c r="N100" s="37"/>
      <c r="O100" s="38"/>
      <c r="P100" s="38"/>
    </row>
    <row r="101" spans="1:16" ht="20.100000000000001" customHeight="1">
      <c r="A101" s="228"/>
      <c r="B101" s="39"/>
      <c r="C101" s="30"/>
      <c r="D101" s="34"/>
      <c r="E101" s="35"/>
      <c r="F101" s="892" t="s">
        <v>158</v>
      </c>
      <c r="G101" s="893"/>
      <c r="H101" s="241">
        <f>SUM(H91:H100)</f>
        <v>373.79605000000004</v>
      </c>
      <c r="I101" s="242"/>
      <c r="J101" s="191"/>
      <c r="K101" s="191"/>
      <c r="L101" s="1"/>
      <c r="N101" s="37"/>
      <c r="O101" s="38"/>
      <c r="P101" s="38"/>
    </row>
    <row r="102" spans="1:16" ht="20.100000000000001" customHeight="1">
      <c r="A102" s="228"/>
      <c r="B102" s="39"/>
      <c r="C102" s="30"/>
      <c r="D102" s="34"/>
      <c r="E102" s="295"/>
      <c r="F102" s="900" t="s">
        <v>10</v>
      </c>
      <c r="G102" s="891"/>
      <c r="H102" s="243">
        <f>ROUNDUP(H101,0)</f>
        <v>374</v>
      </c>
      <c r="I102" s="243" t="s">
        <v>370</v>
      </c>
      <c r="J102" s="191"/>
      <c r="K102" s="191"/>
      <c r="L102" s="894"/>
      <c r="M102" s="895"/>
      <c r="N102" s="895"/>
      <c r="O102" s="896"/>
      <c r="P102" s="145"/>
    </row>
    <row r="103" spans="1:16" ht="20.100000000000001" customHeight="1">
      <c r="A103" s="228"/>
      <c r="B103" s="39"/>
      <c r="C103" s="104"/>
      <c r="D103" s="299"/>
      <c r="E103" s="897" t="s">
        <v>285</v>
      </c>
      <c r="F103" s="898"/>
      <c r="G103" s="899"/>
      <c r="H103" s="234">
        <f>H88+H102</f>
        <v>715</v>
      </c>
      <c r="I103" s="358" t="s">
        <v>367</v>
      </c>
      <c r="J103" s="359" t="s">
        <v>308</v>
      </c>
      <c r="K103" s="359"/>
      <c r="L103" s="173"/>
      <c r="M103" s="173"/>
      <c r="N103" s="173"/>
      <c r="O103" s="173"/>
      <c r="P103" s="162"/>
    </row>
    <row r="104" spans="1:16" ht="20.100000000000001" customHeight="1">
      <c r="A104" s="228"/>
      <c r="B104" s="232" t="s">
        <v>293</v>
      </c>
      <c r="C104" s="101" t="s">
        <v>249</v>
      </c>
      <c r="D104" s="34"/>
      <c r="E104" s="348"/>
      <c r="F104" s="357"/>
      <c r="G104" s="357"/>
      <c r="H104" s="195"/>
      <c r="I104" s="242"/>
      <c r="J104" s="151"/>
      <c r="K104" s="151"/>
      <c r="L104" s="1"/>
      <c r="N104" s="147"/>
      <c r="O104" s="145"/>
      <c r="P104" s="145"/>
    </row>
    <row r="105" spans="1:16" ht="20.100000000000001" customHeight="1">
      <c r="A105" s="228"/>
      <c r="B105" s="39"/>
      <c r="C105" s="101" t="s">
        <v>162</v>
      </c>
      <c r="D105" s="34"/>
      <c r="E105" s="35"/>
      <c r="F105" s="204"/>
      <c r="G105" s="200"/>
      <c r="H105" s="193"/>
      <c r="I105" s="185"/>
      <c r="J105" s="151"/>
      <c r="K105" s="151"/>
      <c r="L105" s="1"/>
      <c r="N105" s="147"/>
      <c r="O105" s="145"/>
      <c r="P105" s="145"/>
    </row>
    <row r="106" spans="1:16" ht="20.100000000000001" customHeight="1">
      <c r="A106" s="228"/>
      <c r="B106" s="39"/>
      <c r="C106" s="170" t="s">
        <v>149</v>
      </c>
      <c r="D106" s="34" t="s">
        <v>163</v>
      </c>
      <c r="E106" s="35">
        <v>3.05</v>
      </c>
      <c r="F106" s="205">
        <v>3.1</v>
      </c>
      <c r="G106" s="206"/>
      <c r="H106" s="193">
        <f t="shared" ref="H106:H117" si="7">F106*E106*8*2</f>
        <v>151.28</v>
      </c>
      <c r="I106" s="185" t="s">
        <v>366</v>
      </c>
      <c r="J106" s="151"/>
      <c r="K106" s="151"/>
      <c r="L106" s="1"/>
      <c r="N106" s="147"/>
      <c r="O106" s="145"/>
      <c r="P106" s="145"/>
    </row>
    <row r="107" spans="1:16" ht="20.100000000000001" customHeight="1">
      <c r="A107" s="228"/>
      <c r="B107" s="39"/>
      <c r="C107" s="170"/>
      <c r="D107" s="34" t="s">
        <v>163</v>
      </c>
      <c r="E107" s="35">
        <v>3.6</v>
      </c>
      <c r="F107" s="205">
        <v>3.1</v>
      </c>
      <c r="G107" s="206"/>
      <c r="H107" s="193">
        <f t="shared" si="7"/>
        <v>178.56</v>
      </c>
      <c r="I107" s="185" t="s">
        <v>366</v>
      </c>
      <c r="J107" s="151"/>
      <c r="K107" s="151"/>
      <c r="L107" s="1"/>
      <c r="N107" s="147"/>
      <c r="O107" s="145"/>
      <c r="P107" s="145"/>
    </row>
    <row r="108" spans="1:16" ht="20.100000000000001" customHeight="1">
      <c r="A108" s="228"/>
      <c r="B108" s="39"/>
      <c r="C108" s="170" t="s">
        <v>150</v>
      </c>
      <c r="D108" s="34" t="s">
        <v>163</v>
      </c>
      <c r="E108" s="35">
        <v>3.05</v>
      </c>
      <c r="F108" s="205">
        <v>3.1</v>
      </c>
      <c r="G108" s="206"/>
      <c r="H108" s="193">
        <f t="shared" si="7"/>
        <v>151.28</v>
      </c>
      <c r="I108" s="185" t="s">
        <v>366</v>
      </c>
      <c r="J108" s="151"/>
      <c r="K108" s="151"/>
      <c r="L108" s="1"/>
      <c r="N108" s="147"/>
      <c r="O108" s="145"/>
      <c r="P108" s="145"/>
    </row>
    <row r="109" spans="1:16" ht="20.100000000000001" customHeight="1">
      <c r="A109" s="228"/>
      <c r="B109" s="39"/>
      <c r="C109" s="170"/>
      <c r="D109" s="34" t="s">
        <v>163</v>
      </c>
      <c r="E109" s="35">
        <v>2.12</v>
      </c>
      <c r="F109" s="205">
        <v>3.1</v>
      </c>
      <c r="G109" s="206"/>
      <c r="H109" s="193">
        <f t="shared" si="7"/>
        <v>105.15200000000002</v>
      </c>
      <c r="I109" s="185" t="s">
        <v>366</v>
      </c>
      <c r="J109" s="151"/>
      <c r="K109" s="151"/>
      <c r="L109" s="1"/>
      <c r="N109" s="147"/>
      <c r="O109" s="145"/>
      <c r="P109" s="145"/>
    </row>
    <row r="110" spans="1:16" ht="20.100000000000001" customHeight="1">
      <c r="A110" s="228"/>
      <c r="B110" s="39"/>
      <c r="C110" s="846" t="s">
        <v>151</v>
      </c>
      <c r="D110" s="34" t="s">
        <v>163</v>
      </c>
      <c r="E110" s="35">
        <v>2.25</v>
      </c>
      <c r="F110" s="205">
        <v>3.1</v>
      </c>
      <c r="G110" s="206"/>
      <c r="H110" s="193">
        <f>F110*E110*8*2</f>
        <v>111.60000000000001</v>
      </c>
      <c r="I110" s="185" t="s">
        <v>366</v>
      </c>
      <c r="J110" s="151"/>
      <c r="K110" s="151"/>
      <c r="L110" s="1"/>
      <c r="N110" s="147"/>
      <c r="O110" s="145"/>
      <c r="P110" s="145"/>
    </row>
    <row r="111" spans="1:16" ht="20.100000000000001" customHeight="1">
      <c r="A111" s="228"/>
      <c r="B111" s="39"/>
      <c r="C111" s="846"/>
      <c r="D111" s="34" t="s">
        <v>163</v>
      </c>
      <c r="E111" s="35">
        <v>1.85</v>
      </c>
      <c r="F111" s="205">
        <v>3.1</v>
      </c>
      <c r="G111" s="206"/>
      <c r="H111" s="193">
        <f t="shared" si="7"/>
        <v>91.76</v>
      </c>
      <c r="I111" s="185" t="s">
        <v>366</v>
      </c>
      <c r="J111" s="151"/>
      <c r="K111" s="151"/>
      <c r="L111" s="1"/>
      <c r="N111" s="147"/>
      <c r="O111" s="145"/>
      <c r="P111" s="145"/>
    </row>
    <row r="112" spans="1:16" ht="20.100000000000001" customHeight="1">
      <c r="A112" s="228"/>
      <c r="B112" s="39"/>
      <c r="C112" s="170" t="s">
        <v>159</v>
      </c>
      <c r="D112" s="34" t="s">
        <v>163</v>
      </c>
      <c r="E112" s="35">
        <v>3.05</v>
      </c>
      <c r="F112" s="205">
        <v>3.1</v>
      </c>
      <c r="G112" s="206"/>
      <c r="H112" s="193">
        <f t="shared" si="7"/>
        <v>151.28</v>
      </c>
      <c r="I112" s="185" t="s">
        <v>366</v>
      </c>
      <c r="J112" s="151"/>
      <c r="K112" s="151"/>
      <c r="L112" s="1"/>
      <c r="N112" s="147"/>
      <c r="O112" s="145"/>
      <c r="P112" s="145"/>
    </row>
    <row r="113" spans="1:16" ht="20.100000000000001" customHeight="1">
      <c r="A113" s="228"/>
      <c r="B113" s="39"/>
      <c r="C113" s="170"/>
      <c r="D113" s="34" t="s">
        <v>163</v>
      </c>
      <c r="E113" s="35">
        <v>3.05</v>
      </c>
      <c r="F113" s="205">
        <v>3.1</v>
      </c>
      <c r="G113" s="206"/>
      <c r="H113" s="193">
        <f t="shared" si="7"/>
        <v>151.28</v>
      </c>
      <c r="I113" s="185" t="s">
        <v>366</v>
      </c>
      <c r="J113" s="151"/>
      <c r="K113" s="151"/>
      <c r="L113" s="1"/>
      <c r="N113" s="147"/>
      <c r="O113" s="145"/>
      <c r="P113" s="145"/>
    </row>
    <row r="114" spans="1:16" ht="20.100000000000001" customHeight="1">
      <c r="A114" s="228"/>
      <c r="B114" s="39"/>
      <c r="C114" s="170" t="s">
        <v>152</v>
      </c>
      <c r="D114" s="34" t="s">
        <v>163</v>
      </c>
      <c r="E114" s="35">
        <v>1.08</v>
      </c>
      <c r="F114" s="205">
        <v>2.2000000000000002</v>
      </c>
      <c r="G114" s="206"/>
      <c r="H114" s="193">
        <f t="shared" si="7"/>
        <v>38.016000000000005</v>
      </c>
      <c r="I114" s="185" t="s">
        <v>366</v>
      </c>
      <c r="J114" s="151"/>
      <c r="K114" s="151"/>
      <c r="L114" s="1"/>
      <c r="N114" s="147"/>
      <c r="O114" s="145"/>
      <c r="P114" s="145"/>
    </row>
    <row r="115" spans="1:16" ht="20.100000000000001" customHeight="1">
      <c r="A115" s="228"/>
      <c r="B115" s="39"/>
      <c r="C115" s="170"/>
      <c r="D115" s="34" t="s">
        <v>163</v>
      </c>
      <c r="E115" s="35">
        <v>1.07</v>
      </c>
      <c r="F115" s="205">
        <v>2.2000000000000002</v>
      </c>
      <c r="G115" s="206"/>
      <c r="H115" s="193">
        <f t="shared" si="7"/>
        <v>37.664000000000009</v>
      </c>
      <c r="I115" s="185" t="s">
        <v>366</v>
      </c>
      <c r="J115" s="151"/>
      <c r="K115" s="151"/>
      <c r="L115" s="1"/>
      <c r="N115" s="147"/>
      <c r="O115" s="145"/>
      <c r="P115" s="145"/>
    </row>
    <row r="116" spans="1:16" ht="20.100000000000001" customHeight="1">
      <c r="A116" s="228"/>
      <c r="B116" s="39"/>
      <c r="C116" s="170" t="s">
        <v>153</v>
      </c>
      <c r="D116" s="34" t="s">
        <v>163</v>
      </c>
      <c r="E116" s="35">
        <v>1.97</v>
      </c>
      <c r="F116" s="205">
        <v>2.2000000000000002</v>
      </c>
      <c r="G116" s="206"/>
      <c r="H116" s="193">
        <f t="shared" si="7"/>
        <v>69.344000000000008</v>
      </c>
      <c r="I116" s="185" t="s">
        <v>366</v>
      </c>
      <c r="J116" s="151"/>
      <c r="K116" s="151"/>
      <c r="L116" s="1"/>
      <c r="N116" s="147"/>
      <c r="O116" s="145"/>
      <c r="P116" s="145"/>
    </row>
    <row r="117" spans="1:16" ht="20.100000000000001" customHeight="1">
      <c r="A117" s="228"/>
      <c r="B117" s="39"/>
      <c r="C117" s="170"/>
      <c r="D117" s="34" t="s">
        <v>163</v>
      </c>
      <c r="E117" s="35">
        <v>0.95</v>
      </c>
      <c r="F117" s="205">
        <v>2.2000000000000002</v>
      </c>
      <c r="G117" s="206"/>
      <c r="H117" s="193">
        <f t="shared" si="7"/>
        <v>33.44</v>
      </c>
      <c r="I117" s="185" t="s">
        <v>366</v>
      </c>
      <c r="J117" s="151"/>
      <c r="K117" s="151"/>
      <c r="L117" s="1"/>
      <c r="N117" s="147"/>
      <c r="O117" s="145"/>
      <c r="P117" s="145"/>
    </row>
    <row r="118" spans="1:16" ht="20.100000000000001" customHeight="1">
      <c r="A118" s="228"/>
      <c r="B118" s="39"/>
      <c r="C118" s="170" t="s">
        <v>251</v>
      </c>
      <c r="D118" s="207">
        <v>2</v>
      </c>
      <c r="E118" s="185">
        <v>5.08</v>
      </c>
      <c r="F118" s="205">
        <v>3.1</v>
      </c>
      <c r="G118" s="206"/>
      <c r="H118" s="193">
        <f t="shared" ref="H118:H124" si="8">F118*E118*D118</f>
        <v>31.496000000000002</v>
      </c>
      <c r="I118" s="185" t="s">
        <v>366</v>
      </c>
      <c r="J118" s="151"/>
      <c r="K118" s="151"/>
      <c r="L118" s="1"/>
      <c r="N118" s="147"/>
      <c r="O118" s="145"/>
      <c r="P118" s="145"/>
    </row>
    <row r="119" spans="1:16" ht="20.100000000000001" customHeight="1">
      <c r="A119" s="228"/>
      <c r="B119" s="39"/>
      <c r="C119" s="170"/>
      <c r="D119" s="34">
        <v>2</v>
      </c>
      <c r="E119" s="35">
        <v>2.15</v>
      </c>
      <c r="F119" s="205">
        <v>3.1</v>
      </c>
      <c r="G119" s="206"/>
      <c r="H119" s="193">
        <f t="shared" si="8"/>
        <v>13.33</v>
      </c>
      <c r="I119" s="185" t="s">
        <v>366</v>
      </c>
      <c r="J119" s="151"/>
      <c r="K119" s="151"/>
      <c r="L119" s="1"/>
      <c r="N119" s="147"/>
      <c r="O119" s="145"/>
      <c r="P119" s="145"/>
    </row>
    <row r="120" spans="1:16" ht="20.100000000000001" customHeight="1">
      <c r="A120" s="228"/>
      <c r="B120" s="39"/>
      <c r="C120" s="170" t="s">
        <v>256</v>
      </c>
      <c r="D120" s="207">
        <v>2</v>
      </c>
      <c r="E120" s="185">
        <v>2.4300000000000002</v>
      </c>
      <c r="F120" s="205">
        <v>3.1</v>
      </c>
      <c r="G120" s="206"/>
      <c r="H120" s="193"/>
      <c r="I120" s="185"/>
      <c r="J120" s="151"/>
      <c r="K120" s="151"/>
      <c r="L120" s="1"/>
      <c r="N120" s="147"/>
      <c r="O120" s="145"/>
      <c r="P120" s="145"/>
    </row>
    <row r="121" spans="1:16" ht="20.100000000000001" customHeight="1">
      <c r="A121" s="228"/>
      <c r="B121" s="39"/>
      <c r="C121" s="170"/>
      <c r="D121" s="34"/>
      <c r="E121" s="35"/>
      <c r="F121" s="205"/>
      <c r="G121" s="206"/>
      <c r="H121" s="193"/>
      <c r="I121" s="185"/>
      <c r="J121" s="151"/>
      <c r="K121" s="151"/>
      <c r="L121" s="1"/>
      <c r="N121" s="147"/>
      <c r="O121" s="145"/>
      <c r="P121" s="145"/>
    </row>
    <row r="122" spans="1:16" ht="20.100000000000001" customHeight="1">
      <c r="A122" s="228"/>
      <c r="B122" s="39"/>
      <c r="C122" s="170" t="s">
        <v>154</v>
      </c>
      <c r="D122" s="34">
        <v>2</v>
      </c>
      <c r="E122" s="35">
        <v>3.2</v>
      </c>
      <c r="F122" s="205">
        <v>8.5</v>
      </c>
      <c r="G122" s="206"/>
      <c r="H122" s="193">
        <f t="shared" si="8"/>
        <v>54.400000000000006</v>
      </c>
      <c r="I122" s="185" t="s">
        <v>366</v>
      </c>
      <c r="J122" s="151"/>
      <c r="K122" s="151"/>
      <c r="L122" s="1"/>
      <c r="N122" s="147"/>
      <c r="O122" s="145"/>
      <c r="P122" s="145"/>
    </row>
    <row r="123" spans="1:16" ht="20.100000000000001" customHeight="1">
      <c r="A123" s="228"/>
      <c r="B123" s="39"/>
      <c r="C123" s="170" t="s">
        <v>155</v>
      </c>
      <c r="D123" s="34">
        <v>2</v>
      </c>
      <c r="E123" s="35">
        <v>2.15</v>
      </c>
      <c r="F123" s="205">
        <v>1.1000000000000001</v>
      </c>
      <c r="G123" s="206"/>
      <c r="H123" s="193">
        <f t="shared" si="8"/>
        <v>4.7300000000000004</v>
      </c>
      <c r="I123" s="185" t="s">
        <v>366</v>
      </c>
      <c r="J123" s="151"/>
      <c r="K123" s="151"/>
      <c r="L123" s="1"/>
      <c r="N123" s="147"/>
      <c r="O123" s="145"/>
      <c r="P123" s="145"/>
    </row>
    <row r="124" spans="1:16" ht="20.100000000000001" customHeight="1">
      <c r="A124" s="228"/>
      <c r="B124" s="39"/>
      <c r="C124" s="170"/>
      <c r="D124" s="34">
        <v>2</v>
      </c>
      <c r="E124" s="35">
        <v>1.2</v>
      </c>
      <c r="F124" s="205">
        <v>1.1000000000000001</v>
      </c>
      <c r="G124" s="206"/>
      <c r="H124" s="193">
        <f t="shared" si="8"/>
        <v>2.64</v>
      </c>
      <c r="I124" s="185" t="s">
        <v>366</v>
      </c>
      <c r="J124" s="151"/>
      <c r="K124" s="151"/>
      <c r="L124" s="1"/>
      <c r="N124" s="147"/>
      <c r="O124" s="145"/>
      <c r="P124" s="145"/>
    </row>
    <row r="125" spans="1:16" ht="20.100000000000001" customHeight="1">
      <c r="A125" s="228"/>
      <c r="B125" s="39"/>
      <c r="C125" s="170" t="s">
        <v>164</v>
      </c>
      <c r="D125" s="34" t="s">
        <v>165</v>
      </c>
      <c r="E125" s="35">
        <v>2.7</v>
      </c>
      <c r="F125" s="205">
        <v>0.9</v>
      </c>
      <c r="G125" s="206"/>
      <c r="H125" s="193">
        <f>F125*E125*2*4</f>
        <v>19.440000000000001</v>
      </c>
      <c r="I125" s="185" t="s">
        <v>366</v>
      </c>
      <c r="J125" s="151"/>
      <c r="K125" s="151"/>
      <c r="L125" s="1"/>
      <c r="N125" s="147"/>
      <c r="O125" s="145"/>
      <c r="P125" s="145"/>
    </row>
    <row r="126" spans="1:16" ht="20.100000000000001" customHeight="1">
      <c r="A126" s="228"/>
      <c r="B126" s="39"/>
      <c r="C126" s="248" t="s">
        <v>167</v>
      </c>
      <c r="D126" s="34"/>
      <c r="E126" s="35"/>
      <c r="F126" s="205"/>
      <c r="G126" s="206"/>
      <c r="H126" s="189"/>
      <c r="I126" s="229"/>
      <c r="J126" s="191"/>
      <c r="K126" s="191"/>
      <c r="L126" s="1"/>
      <c r="N126" s="147"/>
      <c r="O126" s="145"/>
      <c r="P126" s="145"/>
    </row>
    <row r="127" spans="1:16" ht="20.100000000000001" customHeight="1">
      <c r="A127" s="228"/>
      <c r="B127" s="39"/>
      <c r="C127" s="170" t="s">
        <v>149</v>
      </c>
      <c r="D127" s="34"/>
      <c r="E127" s="35"/>
      <c r="F127" s="205"/>
      <c r="G127" s="206"/>
      <c r="H127" s="189"/>
      <c r="I127" s="229"/>
      <c r="J127" s="191"/>
      <c r="K127" s="191"/>
      <c r="L127" s="1"/>
      <c r="N127" s="147"/>
      <c r="O127" s="145"/>
      <c r="P127" s="145"/>
    </row>
    <row r="128" spans="1:16" ht="20.100000000000001" customHeight="1">
      <c r="A128" s="228"/>
      <c r="B128" s="39"/>
      <c r="C128" s="170" t="s">
        <v>168</v>
      </c>
      <c r="D128" s="34">
        <v>-8</v>
      </c>
      <c r="E128" s="35">
        <v>1</v>
      </c>
      <c r="F128" s="205">
        <v>2.1</v>
      </c>
      <c r="G128" s="206"/>
      <c r="H128" s="193">
        <f>F128*E128*D128</f>
        <v>-16.8</v>
      </c>
      <c r="I128" s="185" t="s">
        <v>366</v>
      </c>
      <c r="J128" s="151"/>
      <c r="K128" s="151"/>
      <c r="L128" s="1"/>
      <c r="N128" s="147"/>
      <c r="O128" s="145"/>
      <c r="P128" s="145"/>
    </row>
    <row r="129" spans="1:16" ht="20.100000000000001" customHeight="1">
      <c r="A129" s="228"/>
      <c r="B129" s="39"/>
      <c r="C129" s="170" t="s">
        <v>171</v>
      </c>
      <c r="D129" s="34">
        <v>-8</v>
      </c>
      <c r="E129" s="35">
        <v>1.5</v>
      </c>
      <c r="F129" s="205">
        <v>1.2</v>
      </c>
      <c r="G129" s="206"/>
      <c r="H129" s="193">
        <f>F129*E129*D129</f>
        <v>-14.399999999999999</v>
      </c>
      <c r="I129" s="185" t="s">
        <v>366</v>
      </c>
      <c r="J129" s="151"/>
      <c r="K129" s="151"/>
      <c r="L129" s="1"/>
      <c r="N129" s="147"/>
      <c r="O129" s="145"/>
      <c r="P129" s="145"/>
    </row>
    <row r="130" spans="1:16" ht="20.100000000000001" customHeight="1">
      <c r="A130" s="228"/>
      <c r="B130" s="39"/>
      <c r="C130" s="170" t="s">
        <v>159</v>
      </c>
      <c r="D130" s="34"/>
      <c r="E130" s="35"/>
      <c r="F130" s="205"/>
      <c r="G130" s="206"/>
      <c r="H130" s="189"/>
      <c r="I130" s="229"/>
      <c r="J130" s="191"/>
      <c r="K130" s="191"/>
      <c r="L130" s="1"/>
      <c r="N130" s="147"/>
      <c r="O130" s="145"/>
      <c r="P130" s="145"/>
    </row>
    <row r="131" spans="1:16" ht="20.100000000000001" customHeight="1">
      <c r="A131" s="228"/>
      <c r="B131" s="39"/>
      <c r="C131" s="170" t="s">
        <v>168</v>
      </c>
      <c r="D131" s="34">
        <v>-8</v>
      </c>
      <c r="E131" s="35">
        <v>1</v>
      </c>
      <c r="F131" s="205">
        <v>2.1</v>
      </c>
      <c r="G131" s="206"/>
      <c r="H131" s="193">
        <f>F131*E131*D131</f>
        <v>-16.8</v>
      </c>
      <c r="I131" s="185" t="s">
        <v>366</v>
      </c>
      <c r="J131" s="151"/>
      <c r="K131" s="151"/>
      <c r="L131" s="1"/>
      <c r="N131" s="37"/>
      <c r="O131" s="38"/>
      <c r="P131" s="38"/>
    </row>
    <row r="132" spans="1:16" ht="20.100000000000001" customHeight="1">
      <c r="A132" s="228"/>
      <c r="B132" s="39"/>
      <c r="C132" s="170" t="s">
        <v>173</v>
      </c>
      <c r="D132" s="34">
        <v>-8</v>
      </c>
      <c r="E132" s="35">
        <v>1</v>
      </c>
      <c r="F132" s="205">
        <v>1.2</v>
      </c>
      <c r="G132" s="206"/>
      <c r="H132" s="193">
        <f>F132*E132*D132</f>
        <v>-9.6</v>
      </c>
      <c r="I132" s="185" t="s">
        <v>366</v>
      </c>
      <c r="J132" s="151"/>
      <c r="K132" s="151"/>
      <c r="L132" s="1"/>
      <c r="N132" s="37"/>
      <c r="O132" s="38"/>
      <c r="P132" s="38"/>
    </row>
    <row r="133" spans="1:16" ht="20.100000000000001" customHeight="1">
      <c r="A133" s="228"/>
      <c r="B133" s="39"/>
      <c r="C133" s="170" t="s">
        <v>174</v>
      </c>
      <c r="D133" s="34">
        <v>-8</v>
      </c>
      <c r="E133" s="35">
        <v>0.6</v>
      </c>
      <c r="F133" s="205">
        <v>1.2</v>
      </c>
      <c r="G133" s="206"/>
      <c r="H133" s="193">
        <f>F133*E133*D133</f>
        <v>-5.76</v>
      </c>
      <c r="I133" s="185" t="s">
        <v>366</v>
      </c>
      <c r="J133" s="151"/>
      <c r="K133" s="151"/>
      <c r="L133" s="1"/>
      <c r="N133" s="37"/>
      <c r="O133" s="38"/>
      <c r="P133" s="38"/>
    </row>
    <row r="134" spans="1:16" ht="20.100000000000001" customHeight="1">
      <c r="A134" s="228"/>
      <c r="B134" s="39"/>
      <c r="C134" s="170" t="s">
        <v>172</v>
      </c>
      <c r="D134" s="34"/>
      <c r="E134" s="35"/>
      <c r="F134" s="205"/>
      <c r="G134" s="206"/>
      <c r="H134" s="189"/>
      <c r="I134" s="229"/>
      <c r="J134" s="191"/>
      <c r="K134" s="191"/>
      <c r="L134" s="1"/>
      <c r="N134" s="37"/>
      <c r="O134" s="38"/>
      <c r="P134" s="38"/>
    </row>
    <row r="135" spans="1:16" ht="20.100000000000001" customHeight="1">
      <c r="A135" s="228"/>
      <c r="B135" s="39"/>
      <c r="C135" s="170" t="s">
        <v>168</v>
      </c>
      <c r="D135" s="34">
        <v>-8</v>
      </c>
      <c r="E135" s="35">
        <v>1</v>
      </c>
      <c r="F135" s="205">
        <v>2.1</v>
      </c>
      <c r="G135" s="206"/>
      <c r="H135" s="193">
        <f>F135*E135*D135</f>
        <v>-16.8</v>
      </c>
      <c r="I135" s="185" t="s">
        <v>366</v>
      </c>
      <c r="J135" s="151"/>
      <c r="K135" s="151"/>
      <c r="L135" s="1"/>
      <c r="N135" s="37"/>
      <c r="O135" s="38"/>
      <c r="P135" s="38"/>
    </row>
    <row r="136" spans="1:16" ht="20.100000000000001" customHeight="1">
      <c r="A136" s="228"/>
      <c r="B136" s="39"/>
      <c r="C136" s="170" t="s">
        <v>173</v>
      </c>
      <c r="D136" s="34">
        <v>-8</v>
      </c>
      <c r="E136" s="35">
        <v>1</v>
      </c>
      <c r="F136" s="205">
        <v>1.2</v>
      </c>
      <c r="G136" s="206"/>
      <c r="H136" s="193">
        <f>F136*E136*D136</f>
        <v>-9.6</v>
      </c>
      <c r="I136" s="185" t="s">
        <v>366</v>
      </c>
      <c r="J136" s="151"/>
      <c r="K136" s="151"/>
      <c r="L136" s="1"/>
      <c r="N136" s="37"/>
      <c r="O136" s="38"/>
      <c r="P136" s="38"/>
    </row>
    <row r="137" spans="1:16" ht="20.100000000000001" customHeight="1">
      <c r="A137" s="228"/>
      <c r="B137" s="39"/>
      <c r="C137" s="170" t="s">
        <v>151</v>
      </c>
      <c r="D137" s="34"/>
      <c r="E137" s="35"/>
      <c r="F137" s="205"/>
      <c r="G137" s="206"/>
      <c r="H137" s="189"/>
      <c r="I137" s="229"/>
      <c r="J137" s="191"/>
      <c r="K137" s="191"/>
      <c r="L137" s="1"/>
      <c r="N137" s="37"/>
      <c r="O137" s="38"/>
      <c r="P137" s="38"/>
    </row>
    <row r="138" spans="1:16" ht="20.100000000000001" customHeight="1">
      <c r="A138" s="228"/>
      <c r="B138" s="39"/>
      <c r="C138" s="170" t="s">
        <v>168</v>
      </c>
      <c r="D138" s="34">
        <v>-8</v>
      </c>
      <c r="E138" s="35">
        <v>1</v>
      </c>
      <c r="F138" s="205">
        <v>2.1</v>
      </c>
      <c r="G138" s="206"/>
      <c r="H138" s="193">
        <f>F138*E138*D138</f>
        <v>-16.8</v>
      </c>
      <c r="I138" s="185" t="s">
        <v>366</v>
      </c>
      <c r="J138" s="151"/>
      <c r="K138" s="151"/>
      <c r="L138" s="1"/>
      <c r="N138" s="37"/>
      <c r="O138" s="38"/>
      <c r="P138" s="38"/>
    </row>
    <row r="139" spans="1:16" ht="20.100000000000001" customHeight="1">
      <c r="A139" s="228"/>
      <c r="B139" s="39"/>
      <c r="C139" s="170" t="s">
        <v>169</v>
      </c>
      <c r="D139" s="34">
        <v>-8</v>
      </c>
      <c r="E139" s="35">
        <v>0.8</v>
      </c>
      <c r="F139" s="205">
        <v>2.1</v>
      </c>
      <c r="G139" s="206"/>
      <c r="H139" s="193">
        <f>F139*E139*D139</f>
        <v>-13.440000000000001</v>
      </c>
      <c r="I139" s="185" t="s">
        <v>366</v>
      </c>
      <c r="J139" s="151"/>
      <c r="K139" s="151"/>
      <c r="L139" s="1"/>
      <c r="N139" s="37"/>
      <c r="O139" s="38"/>
      <c r="P139" s="38"/>
    </row>
    <row r="140" spans="1:16" ht="20.100000000000001" customHeight="1">
      <c r="A140" s="228"/>
      <c r="B140" s="39"/>
      <c r="C140" s="170" t="s">
        <v>152</v>
      </c>
      <c r="D140" s="34"/>
      <c r="E140" s="35"/>
      <c r="F140" s="205"/>
      <c r="G140" s="206"/>
      <c r="H140" s="189"/>
      <c r="I140" s="229"/>
      <c r="J140" s="191"/>
      <c r="K140" s="191"/>
      <c r="L140" s="1"/>
      <c r="N140" s="37"/>
      <c r="O140" s="38"/>
      <c r="P140" s="38"/>
    </row>
    <row r="141" spans="1:16" ht="20.100000000000001" customHeight="1">
      <c r="A141" s="228"/>
      <c r="B141" s="39"/>
      <c r="C141" s="170" t="s">
        <v>169</v>
      </c>
      <c r="D141" s="34">
        <v>-8</v>
      </c>
      <c r="E141" s="35">
        <v>0.8</v>
      </c>
      <c r="F141" s="205">
        <v>2.1</v>
      </c>
      <c r="G141" s="206"/>
      <c r="H141" s="193">
        <f>F141*E141*D141</f>
        <v>-13.440000000000001</v>
      </c>
      <c r="I141" s="185" t="s">
        <v>366</v>
      </c>
      <c r="J141" s="151"/>
      <c r="K141" s="151"/>
      <c r="L141" s="1"/>
      <c r="N141" s="37"/>
      <c r="O141" s="38"/>
      <c r="P141" s="38"/>
    </row>
    <row r="142" spans="1:16" ht="20.100000000000001" customHeight="1">
      <c r="A142" s="228"/>
      <c r="B142" s="39"/>
      <c r="C142" s="170" t="s">
        <v>174</v>
      </c>
      <c r="D142" s="34">
        <v>-8</v>
      </c>
      <c r="E142" s="35">
        <v>0.6</v>
      </c>
      <c r="F142" s="205">
        <v>1.2</v>
      </c>
      <c r="G142" s="206"/>
      <c r="H142" s="193">
        <f>F142*E142*D142</f>
        <v>-5.76</v>
      </c>
      <c r="I142" s="185" t="s">
        <v>366</v>
      </c>
      <c r="J142" s="151"/>
      <c r="K142" s="151"/>
      <c r="L142" s="1"/>
      <c r="N142" s="37"/>
      <c r="O142" s="38"/>
      <c r="P142" s="38"/>
    </row>
    <row r="143" spans="1:16" ht="20.100000000000001" customHeight="1">
      <c r="A143" s="228"/>
      <c r="B143" s="39"/>
      <c r="C143" s="170" t="s">
        <v>153</v>
      </c>
      <c r="D143" s="34"/>
      <c r="E143" s="35"/>
      <c r="F143" s="205"/>
      <c r="G143" s="206"/>
      <c r="H143" s="189"/>
      <c r="I143" s="229"/>
      <c r="J143" s="191"/>
      <c r="K143" s="191"/>
      <c r="L143" s="1"/>
      <c r="N143" s="37"/>
      <c r="O143" s="38"/>
      <c r="P143" s="38"/>
    </row>
    <row r="144" spans="1:16" ht="21" customHeight="1">
      <c r="A144" s="228"/>
      <c r="B144" s="39"/>
      <c r="C144" s="170" t="s">
        <v>169</v>
      </c>
      <c r="D144" s="34">
        <v>-8</v>
      </c>
      <c r="E144" s="35">
        <v>0.8</v>
      </c>
      <c r="F144" s="205">
        <v>2.1</v>
      </c>
      <c r="G144" s="206"/>
      <c r="H144" s="193">
        <f>F144*E144*D144</f>
        <v>-13.440000000000001</v>
      </c>
      <c r="I144" s="185" t="s">
        <v>366</v>
      </c>
      <c r="J144" s="151"/>
      <c r="K144" s="151"/>
      <c r="L144" s="1"/>
      <c r="N144" s="37"/>
      <c r="O144" s="38"/>
      <c r="P144" s="38"/>
    </row>
    <row r="145" spans="1:16" ht="20.100000000000001" customHeight="1">
      <c r="A145" s="228"/>
      <c r="B145" s="39"/>
      <c r="C145" s="170" t="s">
        <v>174</v>
      </c>
      <c r="D145" s="34">
        <v>-8</v>
      </c>
      <c r="E145" s="35">
        <v>0.6</v>
      </c>
      <c r="F145" s="205">
        <v>1.2</v>
      </c>
      <c r="G145" s="206"/>
      <c r="H145" s="193">
        <f>F145*E145*D145</f>
        <v>-5.76</v>
      </c>
      <c r="I145" s="185" t="s">
        <v>366</v>
      </c>
      <c r="J145" s="151"/>
      <c r="K145" s="151"/>
      <c r="L145" s="1"/>
      <c r="N145" s="37"/>
      <c r="O145" s="38"/>
      <c r="P145" s="38"/>
    </row>
    <row r="146" spans="1:16" ht="20.100000000000001" customHeight="1">
      <c r="A146" s="228"/>
      <c r="B146" s="39"/>
      <c r="C146" s="170"/>
      <c r="D146" s="34"/>
      <c r="E146" s="35"/>
      <c r="F146" s="850" t="s">
        <v>160</v>
      </c>
      <c r="G146" s="851"/>
      <c r="H146" s="237">
        <f>SUM(H106:H145)</f>
        <v>1238.2920000000006</v>
      </c>
      <c r="I146" s="185" t="s">
        <v>366</v>
      </c>
      <c r="J146" s="247"/>
      <c r="K146" s="191"/>
      <c r="L146" s="1"/>
      <c r="N146" s="37"/>
      <c r="O146" s="38"/>
      <c r="P146" s="38"/>
    </row>
    <row r="147" spans="1:16" ht="20.100000000000001" customHeight="1">
      <c r="A147" s="228"/>
      <c r="B147" s="39"/>
      <c r="C147" s="360"/>
      <c r="D147" s="299"/>
      <c r="E147" s="295"/>
      <c r="F147" s="890" t="s">
        <v>10</v>
      </c>
      <c r="G147" s="891"/>
      <c r="H147" s="237">
        <v>1240</v>
      </c>
      <c r="I147" s="234" t="s">
        <v>371</v>
      </c>
      <c r="J147" s="359"/>
      <c r="K147" s="351"/>
      <c r="L147" s="1"/>
      <c r="N147" s="147"/>
      <c r="O147" s="145"/>
      <c r="P147" s="145"/>
    </row>
    <row r="148" spans="1:16" ht="20.100000000000001" customHeight="1">
      <c r="A148" s="228"/>
      <c r="B148" s="232" t="s">
        <v>294</v>
      </c>
      <c r="C148" s="101" t="s">
        <v>147</v>
      </c>
      <c r="D148" s="34"/>
      <c r="E148" s="35"/>
      <c r="F148" s="204"/>
      <c r="G148" s="200"/>
      <c r="H148" s="193"/>
      <c r="I148" s="185"/>
      <c r="J148" s="151"/>
      <c r="K148" s="151"/>
      <c r="L148" s="1"/>
      <c r="N148" s="37"/>
      <c r="O148" s="38"/>
      <c r="P148" s="38"/>
    </row>
    <row r="149" spans="1:16" ht="20.100000000000001" customHeight="1">
      <c r="A149" s="228"/>
      <c r="B149" s="39"/>
      <c r="C149" s="101" t="s">
        <v>162</v>
      </c>
      <c r="D149" s="34"/>
      <c r="E149" s="35"/>
      <c r="F149" s="204"/>
      <c r="G149" s="200"/>
      <c r="H149" s="193"/>
      <c r="I149" s="185"/>
      <c r="J149" s="151"/>
      <c r="K149" s="151"/>
      <c r="L149" s="1"/>
      <c r="N149" s="37"/>
      <c r="O149" s="38"/>
      <c r="P149" s="38"/>
    </row>
    <row r="150" spans="1:16" ht="20.100000000000001" customHeight="1">
      <c r="A150" s="228"/>
      <c r="B150" s="39"/>
      <c r="C150" s="170" t="s">
        <v>149</v>
      </c>
      <c r="D150" s="34" t="s">
        <v>247</v>
      </c>
      <c r="E150" s="35">
        <v>3.05</v>
      </c>
      <c r="F150" s="205">
        <v>3.1</v>
      </c>
      <c r="G150" s="206"/>
      <c r="H150" s="193">
        <f>F150*E150*8*2</f>
        <v>151.28</v>
      </c>
      <c r="I150" s="185" t="s">
        <v>366</v>
      </c>
      <c r="J150" s="151"/>
      <c r="K150" s="151"/>
      <c r="L150" s="1"/>
      <c r="N150" s="37"/>
      <c r="O150" s="38"/>
      <c r="P150" s="38"/>
    </row>
    <row r="151" spans="1:16" ht="20.100000000000001" customHeight="1">
      <c r="A151" s="228"/>
      <c r="B151" s="39"/>
      <c r="C151" s="170"/>
      <c r="D151" s="34" t="s">
        <v>247</v>
      </c>
      <c r="E151" s="35">
        <v>3.75</v>
      </c>
      <c r="F151" s="205">
        <v>3.1</v>
      </c>
      <c r="G151" s="206"/>
      <c r="H151" s="193">
        <f>F151*E151*8*2</f>
        <v>186</v>
      </c>
      <c r="I151" s="185" t="s">
        <v>366</v>
      </c>
      <c r="J151" s="151"/>
      <c r="K151" s="151"/>
      <c r="L151" s="1"/>
      <c r="N151" s="37"/>
      <c r="O151" s="38"/>
      <c r="P151" s="38"/>
    </row>
    <row r="152" spans="1:16" ht="20.100000000000001" customHeight="1">
      <c r="A152" s="228"/>
      <c r="B152" s="39"/>
      <c r="C152" s="170" t="s">
        <v>150</v>
      </c>
      <c r="D152" s="34" t="s">
        <v>247</v>
      </c>
      <c r="E152" s="35">
        <v>3.05</v>
      </c>
      <c r="F152" s="205">
        <v>3.1</v>
      </c>
      <c r="G152" s="206"/>
      <c r="H152" s="193">
        <f>F152*E152*8*2</f>
        <v>151.28</v>
      </c>
      <c r="I152" s="185" t="s">
        <v>366</v>
      </c>
      <c r="J152" s="151"/>
      <c r="K152" s="151"/>
      <c r="L152" s="1"/>
      <c r="N152" s="37"/>
      <c r="O152" s="38"/>
      <c r="P152" s="38"/>
    </row>
    <row r="153" spans="1:16" ht="20.100000000000001" customHeight="1">
      <c r="A153" s="228"/>
      <c r="B153" s="39"/>
      <c r="C153" s="170"/>
      <c r="D153" s="34" t="s">
        <v>247</v>
      </c>
      <c r="E153" s="35">
        <v>3.35</v>
      </c>
      <c r="F153" s="205">
        <v>3.1</v>
      </c>
      <c r="G153" s="206"/>
      <c r="H153" s="193">
        <f>F153*E153*8*2</f>
        <v>166.16</v>
      </c>
      <c r="I153" s="185" t="s">
        <v>366</v>
      </c>
      <c r="J153" s="151"/>
      <c r="K153" s="151"/>
      <c r="L153" s="1"/>
      <c r="N153" s="37"/>
      <c r="O153" s="38"/>
      <c r="P153" s="38"/>
    </row>
    <row r="154" spans="1:16" ht="20.100000000000001" customHeight="1">
      <c r="A154" s="228"/>
      <c r="B154" s="39"/>
      <c r="C154" s="170" t="s">
        <v>151</v>
      </c>
      <c r="D154" s="34" t="s">
        <v>247</v>
      </c>
      <c r="E154" s="35">
        <v>2.52</v>
      </c>
      <c r="F154" s="205">
        <v>3.1</v>
      </c>
      <c r="G154" s="206"/>
      <c r="H154" s="193">
        <f t="shared" ref="H154:H159" si="9">F154*E154*8*2</f>
        <v>124.992</v>
      </c>
      <c r="I154" s="185" t="s">
        <v>366</v>
      </c>
      <c r="J154" s="151"/>
      <c r="K154" s="151"/>
      <c r="L154" s="1"/>
      <c r="N154" s="37"/>
      <c r="O154" s="38"/>
      <c r="P154" s="38"/>
    </row>
    <row r="155" spans="1:16" ht="21.75" customHeight="1">
      <c r="A155" s="228"/>
      <c r="B155" s="39"/>
      <c r="C155" s="170"/>
      <c r="D155" s="34" t="s">
        <v>247</v>
      </c>
      <c r="E155" s="35">
        <v>0.98</v>
      </c>
      <c r="F155" s="205">
        <v>3.1</v>
      </c>
      <c r="G155" s="206"/>
      <c r="H155" s="193">
        <f>F155*E155*8*2</f>
        <v>48.607999999999997</v>
      </c>
      <c r="I155" s="185" t="s">
        <v>366</v>
      </c>
      <c r="J155" s="151"/>
      <c r="K155" s="151"/>
      <c r="L155" s="1"/>
      <c r="N155" s="37"/>
      <c r="O155" s="38"/>
      <c r="P155" s="38"/>
    </row>
    <row r="156" spans="1:16" ht="20.100000000000001" customHeight="1">
      <c r="A156" s="228"/>
      <c r="B156" s="39"/>
      <c r="C156" s="170" t="s">
        <v>152</v>
      </c>
      <c r="D156" s="34" t="s">
        <v>247</v>
      </c>
      <c r="E156" s="35">
        <v>1.22</v>
      </c>
      <c r="F156" s="205">
        <v>2.2000000000000002</v>
      </c>
      <c r="G156" s="206"/>
      <c r="H156" s="193">
        <f t="shared" si="9"/>
        <v>42.944000000000003</v>
      </c>
      <c r="I156" s="185" t="s">
        <v>366</v>
      </c>
      <c r="J156" s="151"/>
      <c r="K156" s="151"/>
      <c r="L156" s="1"/>
      <c r="N156" s="37"/>
      <c r="O156" s="38"/>
      <c r="P156" s="38"/>
    </row>
    <row r="157" spans="1:16" ht="21" customHeight="1">
      <c r="A157" s="228"/>
      <c r="B157" s="39"/>
      <c r="C157" s="170"/>
      <c r="D157" s="34" t="s">
        <v>247</v>
      </c>
      <c r="E157" s="35">
        <v>1.22</v>
      </c>
      <c r="F157" s="205">
        <v>2.2000000000000002</v>
      </c>
      <c r="G157" s="206"/>
      <c r="H157" s="193">
        <f t="shared" si="9"/>
        <v>42.944000000000003</v>
      </c>
      <c r="I157" s="185" t="s">
        <v>366</v>
      </c>
      <c r="J157" s="151"/>
      <c r="K157" s="151"/>
      <c r="L157" s="1"/>
      <c r="N157" s="144"/>
      <c r="O157" s="143"/>
      <c r="P157" s="143"/>
    </row>
    <row r="158" spans="1:16" ht="15.75">
      <c r="A158" s="228"/>
      <c r="B158" s="39"/>
      <c r="C158" s="170" t="s">
        <v>153</v>
      </c>
      <c r="D158" s="34" t="s">
        <v>247</v>
      </c>
      <c r="E158" s="35">
        <v>1.22</v>
      </c>
      <c r="F158" s="205">
        <v>2.27</v>
      </c>
      <c r="G158" s="206"/>
      <c r="H158" s="193">
        <f t="shared" si="9"/>
        <v>44.310400000000001</v>
      </c>
      <c r="I158" s="185" t="s">
        <v>366</v>
      </c>
      <c r="J158" s="151"/>
      <c r="K158" s="151"/>
      <c r="L158" s="1"/>
      <c r="N158" s="144"/>
      <c r="O158" s="143"/>
      <c r="P158" s="143"/>
    </row>
    <row r="159" spans="1:16" ht="20.100000000000001" customHeight="1">
      <c r="A159" s="228"/>
      <c r="B159" s="39"/>
      <c r="C159" s="170"/>
      <c r="D159" s="34" t="s">
        <v>247</v>
      </c>
      <c r="E159" s="35">
        <v>0.95</v>
      </c>
      <c r="F159" s="205">
        <v>2.27</v>
      </c>
      <c r="G159" s="206"/>
      <c r="H159" s="193">
        <f t="shared" si="9"/>
        <v>34.503999999999998</v>
      </c>
      <c r="I159" s="185" t="s">
        <v>366</v>
      </c>
      <c r="J159" s="151"/>
      <c r="K159" s="151"/>
      <c r="L159" s="1"/>
      <c r="N159" s="37"/>
      <c r="O159" s="38"/>
      <c r="P159" s="38"/>
    </row>
    <row r="160" spans="1:16" ht="19.5" customHeight="1">
      <c r="A160" s="228"/>
      <c r="B160" s="39"/>
      <c r="C160" s="846" t="s">
        <v>253</v>
      </c>
      <c r="D160" s="34">
        <v>1</v>
      </c>
      <c r="E160" s="35">
        <v>2.15</v>
      </c>
      <c r="F160" s="205">
        <v>3.05</v>
      </c>
      <c r="G160" s="206"/>
      <c r="H160" s="193">
        <f>F160*E160*2*2</f>
        <v>26.229999999999997</v>
      </c>
      <c r="I160" s="185" t="s">
        <v>366</v>
      </c>
      <c r="J160" s="151"/>
      <c r="K160" s="151"/>
      <c r="L160" s="1"/>
      <c r="N160" s="37"/>
      <c r="O160" s="38"/>
      <c r="P160" s="38"/>
    </row>
    <row r="161" spans="1:16" ht="19.5" customHeight="1">
      <c r="A161" s="228"/>
      <c r="B161" s="39"/>
      <c r="C161" s="846"/>
      <c r="D161" s="34">
        <v>1</v>
      </c>
      <c r="E161" s="35">
        <v>5.0999999999999996</v>
      </c>
      <c r="F161" s="205">
        <v>3.05</v>
      </c>
      <c r="G161" s="206"/>
      <c r="H161" s="193">
        <f>F161*E161*2*3</f>
        <v>93.329999999999984</v>
      </c>
      <c r="I161" s="185" t="s">
        <v>366</v>
      </c>
      <c r="J161" s="151"/>
      <c r="K161" s="151"/>
      <c r="L161" s="1"/>
      <c r="N161" s="37"/>
      <c r="O161" s="38"/>
      <c r="P161" s="38"/>
    </row>
    <row r="162" spans="1:16" ht="19.5" customHeight="1">
      <c r="A162" s="228"/>
      <c r="B162" s="39"/>
      <c r="C162" s="846" t="s">
        <v>254</v>
      </c>
      <c r="D162" s="34">
        <v>3</v>
      </c>
      <c r="E162" s="35">
        <v>3.97</v>
      </c>
      <c r="F162" s="35">
        <v>2.15</v>
      </c>
      <c r="G162" s="206"/>
      <c r="H162" s="193"/>
      <c r="I162" s="185"/>
      <c r="J162" s="151"/>
      <c r="K162" s="151"/>
      <c r="L162" s="1"/>
      <c r="N162" s="37"/>
      <c r="O162" s="38"/>
      <c r="P162" s="38"/>
    </row>
    <row r="163" spans="1:16" ht="20.100000000000001" customHeight="1">
      <c r="A163" s="228"/>
      <c r="B163" s="39"/>
      <c r="C163" s="846"/>
      <c r="D163" s="34">
        <v>3</v>
      </c>
      <c r="E163" s="35">
        <v>3.97</v>
      </c>
      <c r="F163" s="35">
        <v>2.15</v>
      </c>
      <c r="G163" s="206"/>
      <c r="H163" s="193">
        <f>F163*E163*D163</f>
        <v>25.606500000000004</v>
      </c>
      <c r="I163" s="185" t="s">
        <v>366</v>
      </c>
      <c r="J163" s="151"/>
      <c r="K163" s="151"/>
      <c r="L163" s="1"/>
      <c r="N163" s="37"/>
      <c r="O163" s="38"/>
      <c r="P163" s="38"/>
    </row>
    <row r="164" spans="1:16" ht="20.100000000000001" customHeight="1">
      <c r="A164" s="228"/>
      <c r="B164" s="39"/>
      <c r="C164" s="170" t="s">
        <v>154</v>
      </c>
      <c r="D164" s="207">
        <v>1</v>
      </c>
      <c r="E164" s="185">
        <v>5.2</v>
      </c>
      <c r="F164" s="205">
        <v>2.15</v>
      </c>
      <c r="G164" s="206"/>
      <c r="H164" s="193">
        <f>F164*E164*2*2</f>
        <v>44.72</v>
      </c>
      <c r="I164" s="185" t="s">
        <v>366</v>
      </c>
      <c r="J164" s="151"/>
      <c r="K164" s="151"/>
      <c r="L164" s="1"/>
      <c r="N164" s="37"/>
      <c r="O164" s="38"/>
      <c r="P164" s="38"/>
    </row>
    <row r="165" spans="1:16" ht="20.100000000000001" customHeight="1">
      <c r="A165" s="228"/>
      <c r="B165" s="39"/>
      <c r="C165" s="170" t="s">
        <v>166</v>
      </c>
      <c r="D165" s="34" t="s">
        <v>255</v>
      </c>
      <c r="E165" s="35">
        <v>3</v>
      </c>
      <c r="F165" s="205">
        <v>1.1000000000000001</v>
      </c>
      <c r="G165" s="206"/>
      <c r="H165" s="193">
        <f>F165*E165*2*4</f>
        <v>26.400000000000002</v>
      </c>
      <c r="I165" s="185" t="s">
        <v>366</v>
      </c>
      <c r="J165" s="151"/>
      <c r="K165" s="151"/>
      <c r="L165" s="1"/>
      <c r="N165" s="37"/>
      <c r="O165" s="38"/>
      <c r="P165" s="38"/>
    </row>
    <row r="166" spans="1:16" ht="20.100000000000001" customHeight="1">
      <c r="A166" s="228"/>
      <c r="B166" s="39"/>
      <c r="C166" s="248" t="s">
        <v>167</v>
      </c>
      <c r="D166" s="34"/>
      <c r="E166" s="35"/>
      <c r="F166" s="205"/>
      <c r="G166" s="206"/>
      <c r="H166" s="189"/>
      <c r="I166" s="229"/>
      <c r="J166" s="191"/>
      <c r="K166" s="191"/>
      <c r="L166" s="1"/>
      <c r="N166" s="37"/>
      <c r="O166" s="38"/>
      <c r="P166" s="38"/>
    </row>
    <row r="167" spans="1:16" ht="20.100000000000001" customHeight="1">
      <c r="A167" s="228"/>
      <c r="B167" s="39"/>
      <c r="C167" s="170" t="s">
        <v>149</v>
      </c>
      <c r="D167" s="34"/>
      <c r="E167" s="35"/>
      <c r="F167" s="205"/>
      <c r="G167" s="206"/>
      <c r="H167" s="189"/>
      <c r="I167" s="229"/>
      <c r="J167" s="191"/>
      <c r="K167" s="191"/>
      <c r="L167" s="1"/>
      <c r="N167" s="37"/>
      <c r="O167" s="38"/>
      <c r="P167" s="38"/>
    </row>
    <row r="168" spans="1:16" ht="20.100000000000001" customHeight="1">
      <c r="A168" s="228"/>
      <c r="B168" s="39"/>
      <c r="C168" s="170" t="s">
        <v>168</v>
      </c>
      <c r="D168" s="34">
        <v>-12</v>
      </c>
      <c r="E168" s="35">
        <v>0.9</v>
      </c>
      <c r="F168" s="205">
        <v>2.1</v>
      </c>
      <c r="G168" s="206"/>
      <c r="H168" s="193">
        <f>F168*E168*D168</f>
        <v>-22.68</v>
      </c>
      <c r="I168" s="185" t="s">
        <v>366</v>
      </c>
      <c r="J168" s="151"/>
      <c r="K168" s="151"/>
      <c r="L168" s="1"/>
      <c r="N168" s="37"/>
      <c r="O168" s="38"/>
      <c r="P168" s="38"/>
    </row>
    <row r="169" spans="1:16" ht="20.100000000000001" customHeight="1">
      <c r="A169" s="228"/>
      <c r="B169" s="39"/>
      <c r="C169" s="170" t="s">
        <v>171</v>
      </c>
      <c r="D169" s="34">
        <v>-12</v>
      </c>
      <c r="E169" s="35">
        <v>1.5</v>
      </c>
      <c r="F169" s="205">
        <v>1.2</v>
      </c>
      <c r="G169" s="206"/>
      <c r="H169" s="193">
        <f>F169*E169*D169</f>
        <v>-21.599999999999998</v>
      </c>
      <c r="I169" s="185" t="s">
        <v>366</v>
      </c>
      <c r="J169" s="151"/>
      <c r="K169" s="151"/>
      <c r="L169" s="1"/>
      <c r="N169" s="37"/>
      <c r="O169" s="38"/>
      <c r="P169" s="38"/>
    </row>
    <row r="170" spans="1:16" ht="20.100000000000001" customHeight="1">
      <c r="A170" s="228"/>
      <c r="B170" s="39"/>
      <c r="C170" s="170" t="s">
        <v>172</v>
      </c>
      <c r="D170" s="34"/>
      <c r="E170" s="35"/>
      <c r="F170" s="205"/>
      <c r="G170" s="206"/>
      <c r="H170" s="189"/>
      <c r="I170" s="229"/>
      <c r="J170" s="191"/>
      <c r="K170" s="191"/>
      <c r="L170" s="1"/>
      <c r="N170" s="37"/>
      <c r="O170" s="38"/>
      <c r="P170" s="38"/>
    </row>
    <row r="171" spans="1:16" ht="20.100000000000001" customHeight="1">
      <c r="A171" s="228"/>
      <c r="B171" s="39"/>
      <c r="C171" s="170" t="s">
        <v>168</v>
      </c>
      <c r="D171" s="34">
        <v>-12</v>
      </c>
      <c r="E171" s="35">
        <v>0.9</v>
      </c>
      <c r="F171" s="205">
        <v>2.1</v>
      </c>
      <c r="G171" s="206"/>
      <c r="H171" s="193">
        <f>F171*E171*D171</f>
        <v>-22.68</v>
      </c>
      <c r="I171" s="185" t="s">
        <v>366</v>
      </c>
      <c r="J171" s="151"/>
      <c r="K171" s="151"/>
      <c r="L171" s="1"/>
      <c r="N171" s="37"/>
      <c r="O171" s="38"/>
      <c r="P171" s="38"/>
    </row>
    <row r="172" spans="1:16" ht="20.100000000000001" customHeight="1">
      <c r="A172" s="228"/>
      <c r="B172" s="39"/>
      <c r="C172" s="170" t="s">
        <v>173</v>
      </c>
      <c r="D172" s="34">
        <v>-12</v>
      </c>
      <c r="E172" s="35">
        <v>1</v>
      </c>
      <c r="F172" s="205">
        <v>1.2</v>
      </c>
      <c r="G172" s="206"/>
      <c r="H172" s="193">
        <f>F172*E172*D172</f>
        <v>-14.399999999999999</v>
      </c>
      <c r="I172" s="185" t="s">
        <v>366</v>
      </c>
      <c r="J172" s="151"/>
      <c r="K172" s="151"/>
      <c r="L172" s="1"/>
      <c r="N172" s="37"/>
      <c r="O172" s="38"/>
      <c r="P172" s="38"/>
    </row>
    <row r="173" spans="1:16" ht="20.100000000000001" customHeight="1">
      <c r="A173" s="228"/>
      <c r="B173" s="39"/>
      <c r="C173" s="170" t="s">
        <v>152</v>
      </c>
      <c r="D173" s="34"/>
      <c r="E173" s="35"/>
      <c r="F173" s="205"/>
      <c r="G173" s="206"/>
      <c r="H173" s="189"/>
      <c r="I173" s="229"/>
      <c r="J173" s="191"/>
      <c r="K173" s="191"/>
      <c r="L173" s="1"/>
      <c r="N173" s="37"/>
      <c r="O173" s="38"/>
      <c r="P173" s="38"/>
    </row>
    <row r="174" spans="1:16" ht="20.100000000000001" customHeight="1">
      <c r="A174" s="228"/>
      <c r="B174" s="39"/>
      <c r="C174" s="170" t="s">
        <v>169</v>
      </c>
      <c r="D174" s="34">
        <v>-12</v>
      </c>
      <c r="E174" s="35">
        <v>0.8</v>
      </c>
      <c r="F174" s="205">
        <v>2.1</v>
      </c>
      <c r="G174" s="206"/>
      <c r="H174" s="193">
        <f>F174*E174*D174</f>
        <v>-20.160000000000004</v>
      </c>
      <c r="I174" s="185" t="s">
        <v>366</v>
      </c>
      <c r="J174" s="151"/>
      <c r="K174" s="151"/>
      <c r="L174" s="1"/>
      <c r="N174" s="37"/>
      <c r="O174" s="38"/>
      <c r="P174" s="38"/>
    </row>
    <row r="175" spans="1:16" ht="20.100000000000001" customHeight="1">
      <c r="A175" s="228"/>
      <c r="B175" s="39"/>
      <c r="C175" s="170" t="s">
        <v>174</v>
      </c>
      <c r="D175" s="34">
        <v>-12</v>
      </c>
      <c r="E175" s="35">
        <v>0.6</v>
      </c>
      <c r="F175" s="205">
        <v>1.2</v>
      </c>
      <c r="G175" s="206"/>
      <c r="H175" s="193">
        <f>F175*E175*D175</f>
        <v>-8.64</v>
      </c>
      <c r="I175" s="185" t="s">
        <v>366</v>
      </c>
      <c r="J175" s="151"/>
      <c r="K175" s="151"/>
      <c r="L175" s="1"/>
      <c r="N175" s="37"/>
      <c r="O175" s="38"/>
      <c r="P175" s="38"/>
    </row>
    <row r="176" spans="1:16" ht="20.100000000000001" customHeight="1">
      <c r="A176" s="228"/>
      <c r="B176" s="39"/>
      <c r="C176" s="170" t="s">
        <v>153</v>
      </c>
      <c r="D176" s="34"/>
      <c r="E176" s="35"/>
      <c r="F176" s="205"/>
      <c r="G176" s="206"/>
      <c r="H176" s="189"/>
      <c r="I176" s="229"/>
      <c r="J176" s="191"/>
      <c r="K176" s="191"/>
      <c r="L176" s="1"/>
      <c r="N176" s="37"/>
      <c r="O176" s="38"/>
      <c r="P176" s="38"/>
    </row>
    <row r="177" spans="1:16" ht="20.100000000000001" customHeight="1">
      <c r="A177" s="228"/>
      <c r="B177" s="39"/>
      <c r="C177" s="170" t="s">
        <v>170</v>
      </c>
      <c r="D177" s="34">
        <v>-12</v>
      </c>
      <c r="E177" s="35">
        <v>0.8</v>
      </c>
      <c r="F177" s="205">
        <v>2.1</v>
      </c>
      <c r="G177" s="206"/>
      <c r="H177" s="193">
        <f>F177*E177*D177</f>
        <v>-20.160000000000004</v>
      </c>
      <c r="I177" s="185" t="s">
        <v>366</v>
      </c>
      <c r="J177" s="151"/>
      <c r="K177" s="151"/>
      <c r="L177" s="1"/>
      <c r="N177" s="37"/>
      <c r="O177" s="38"/>
      <c r="P177" s="38"/>
    </row>
    <row r="178" spans="1:16" ht="20.100000000000001" customHeight="1">
      <c r="A178" s="228"/>
      <c r="B178" s="39"/>
      <c r="C178" s="170" t="s">
        <v>174</v>
      </c>
      <c r="D178" s="34">
        <v>-12</v>
      </c>
      <c r="E178" s="35">
        <v>0.6</v>
      </c>
      <c r="F178" s="205">
        <v>1.2</v>
      </c>
      <c r="G178" s="206"/>
      <c r="H178" s="193">
        <f>F178*E178*D178</f>
        <v>-8.64</v>
      </c>
      <c r="I178" s="185" t="s">
        <v>366</v>
      </c>
      <c r="J178" s="151"/>
      <c r="K178" s="151"/>
      <c r="L178" s="1"/>
      <c r="N178" s="37"/>
      <c r="O178" s="38"/>
      <c r="P178" s="38"/>
    </row>
    <row r="179" spans="1:16" ht="20.100000000000001" customHeight="1">
      <c r="A179" s="228"/>
      <c r="B179" s="39"/>
      <c r="C179" s="170" t="s">
        <v>151</v>
      </c>
      <c r="D179" s="34"/>
      <c r="E179" s="35"/>
      <c r="F179" s="205"/>
      <c r="G179" s="206"/>
      <c r="H179" s="189"/>
      <c r="I179" s="229"/>
      <c r="J179" s="191"/>
      <c r="K179" s="191"/>
      <c r="L179" s="1"/>
      <c r="N179" s="37"/>
      <c r="O179" s="38"/>
      <c r="P179" s="38"/>
    </row>
    <row r="180" spans="1:16" ht="20.100000000000001" customHeight="1">
      <c r="A180" s="228"/>
      <c r="B180" s="39"/>
      <c r="C180" s="170" t="s">
        <v>169</v>
      </c>
      <c r="D180" s="34">
        <v>-12</v>
      </c>
      <c r="E180" s="35">
        <v>0.9</v>
      </c>
      <c r="F180" s="205">
        <v>2.1</v>
      </c>
      <c r="G180" s="206"/>
      <c r="H180" s="193">
        <f>F180*E180*D180</f>
        <v>-22.68</v>
      </c>
      <c r="I180" s="185" t="s">
        <v>366</v>
      </c>
      <c r="J180" s="151"/>
      <c r="K180" s="151"/>
      <c r="L180" s="1"/>
      <c r="N180" s="37"/>
      <c r="O180" s="38"/>
      <c r="P180" s="38"/>
    </row>
    <row r="181" spans="1:16" ht="20.100000000000001" customHeight="1">
      <c r="A181" s="228"/>
      <c r="B181" s="39"/>
      <c r="C181" s="170" t="s">
        <v>170</v>
      </c>
      <c r="D181" s="34">
        <v>-12</v>
      </c>
      <c r="E181" s="35">
        <v>0.8</v>
      </c>
      <c r="F181" s="205">
        <v>2.1</v>
      </c>
      <c r="G181" s="206"/>
      <c r="H181" s="193">
        <f>F181*E181*D181</f>
        <v>-20.160000000000004</v>
      </c>
      <c r="I181" s="185" t="s">
        <v>366</v>
      </c>
      <c r="J181" s="151"/>
      <c r="K181" s="151"/>
      <c r="L181" s="1"/>
      <c r="N181" s="37"/>
      <c r="O181" s="38"/>
      <c r="P181" s="38"/>
    </row>
    <row r="182" spans="1:16" ht="20.100000000000001" customHeight="1">
      <c r="A182" s="228"/>
      <c r="B182" s="39"/>
      <c r="C182" s="170"/>
      <c r="D182" s="34"/>
      <c r="E182" s="35"/>
      <c r="F182" s="850" t="s">
        <v>161</v>
      </c>
      <c r="G182" s="851"/>
      <c r="H182" s="237">
        <f>SUM(H150:H181)</f>
        <v>1027.5088999999994</v>
      </c>
      <c r="I182" s="218"/>
      <c r="J182" s="247"/>
      <c r="K182" s="191"/>
      <c r="L182" s="1"/>
      <c r="N182" s="37"/>
      <c r="O182" s="38"/>
      <c r="P182" s="38"/>
    </row>
    <row r="183" spans="1:16" ht="20.100000000000001" customHeight="1">
      <c r="A183" s="228"/>
      <c r="B183" s="39"/>
      <c r="C183" s="170"/>
      <c r="D183" s="34"/>
      <c r="E183" s="35"/>
      <c r="F183" s="857" t="s">
        <v>10</v>
      </c>
      <c r="G183" s="857"/>
      <c r="H183" s="237">
        <f>ROUNDUP(H182,0)</f>
        <v>1028</v>
      </c>
      <c r="I183" s="229" t="s">
        <v>372</v>
      </c>
      <c r="J183" s="191"/>
      <c r="K183" s="151"/>
      <c r="L183" s="1"/>
      <c r="N183" s="147"/>
      <c r="O183" s="145"/>
      <c r="P183" s="145"/>
    </row>
    <row r="184" spans="1:16" ht="20.100000000000001" customHeight="1">
      <c r="A184" s="279"/>
      <c r="B184" s="103"/>
      <c r="C184" s="360"/>
      <c r="D184" s="299"/>
      <c r="E184" s="858" t="s">
        <v>297</v>
      </c>
      <c r="F184" s="858"/>
      <c r="G184" s="858"/>
      <c r="H184" s="233">
        <f>H147+H183</f>
        <v>2268</v>
      </c>
      <c r="I184" s="234" t="s">
        <v>367</v>
      </c>
      <c r="J184" s="359" t="s">
        <v>307</v>
      </c>
      <c r="K184" s="351"/>
      <c r="L184" s="1"/>
      <c r="N184" s="156"/>
      <c r="O184" s="155"/>
      <c r="P184" s="155"/>
    </row>
    <row r="185" spans="1:16" ht="20.100000000000001" customHeight="1">
      <c r="A185" s="228"/>
      <c r="B185" s="39"/>
      <c r="C185" s="170"/>
      <c r="D185" s="34"/>
      <c r="E185" s="35"/>
      <c r="F185" s="364"/>
      <c r="G185" s="236"/>
      <c r="H185" s="189"/>
      <c r="I185" s="229"/>
      <c r="J185" s="191"/>
      <c r="K185" s="151"/>
      <c r="L185" s="1"/>
      <c r="N185" s="156"/>
      <c r="O185" s="155"/>
      <c r="P185" s="155"/>
    </row>
    <row r="186" spans="1:16" ht="20.100000000000001" customHeight="1">
      <c r="A186" s="228"/>
      <c r="B186" s="39"/>
      <c r="C186" s="246" t="s">
        <v>295</v>
      </c>
      <c r="D186" s="249"/>
      <c r="E186" s="249"/>
      <c r="F186" s="249"/>
      <c r="G186" s="250"/>
      <c r="H186" s="189"/>
      <c r="I186" s="229"/>
      <c r="J186" s="191"/>
      <c r="K186" s="191"/>
      <c r="L186" s="1"/>
      <c r="N186" s="37"/>
      <c r="O186" s="38"/>
      <c r="P186" s="38"/>
    </row>
    <row r="187" spans="1:16" ht="20.100000000000001" customHeight="1">
      <c r="A187" s="228"/>
      <c r="B187" s="232" t="s">
        <v>296</v>
      </c>
      <c r="C187" s="101" t="s">
        <v>207</v>
      </c>
      <c r="D187" s="34"/>
      <c r="E187" s="35"/>
      <c r="F187" s="204"/>
      <c r="G187" s="200"/>
      <c r="H187" s="193"/>
      <c r="I187" s="185"/>
      <c r="J187" s="151"/>
      <c r="K187" s="151"/>
      <c r="L187" s="1"/>
      <c r="N187" s="147"/>
      <c r="O187" s="145"/>
      <c r="P187" s="145"/>
    </row>
    <row r="188" spans="1:16" ht="20.100000000000001" customHeight="1">
      <c r="A188" s="228"/>
      <c r="B188" s="39"/>
      <c r="C188" s="101" t="s">
        <v>162</v>
      </c>
      <c r="D188" s="34"/>
      <c r="E188" s="35"/>
      <c r="F188" s="204"/>
      <c r="G188" s="200"/>
      <c r="H188" s="193"/>
      <c r="I188" s="185"/>
      <c r="J188" s="151"/>
      <c r="K188" s="151"/>
      <c r="L188" s="1"/>
      <c r="N188" s="147"/>
      <c r="O188" s="145"/>
      <c r="P188" s="145"/>
    </row>
    <row r="189" spans="1:16" ht="20.100000000000001" customHeight="1">
      <c r="A189" s="228"/>
      <c r="B189" s="39"/>
      <c r="C189" s="170" t="s">
        <v>208</v>
      </c>
      <c r="D189" s="251">
        <v>2</v>
      </c>
      <c r="E189" s="251">
        <v>15.66</v>
      </c>
      <c r="F189" s="252">
        <v>7.4</v>
      </c>
      <c r="G189" s="253"/>
      <c r="H189" s="193">
        <f>F189*E189*D189</f>
        <v>231.768</v>
      </c>
      <c r="I189" s="185" t="s">
        <v>366</v>
      </c>
      <c r="J189" s="151"/>
      <c r="K189" s="151"/>
      <c r="L189" s="1"/>
      <c r="N189" s="37"/>
      <c r="O189" s="38"/>
      <c r="P189" s="38"/>
    </row>
    <row r="190" spans="1:16" ht="20.100000000000001" customHeight="1">
      <c r="A190" s="228"/>
      <c r="B190" s="39"/>
      <c r="C190" s="170" t="s">
        <v>209</v>
      </c>
      <c r="D190" s="254">
        <v>4</v>
      </c>
      <c r="E190" s="255">
        <v>3.2</v>
      </c>
      <c r="F190" s="255">
        <v>8</v>
      </c>
      <c r="G190" s="253"/>
      <c r="H190" s="193">
        <f>F190*E190*D190</f>
        <v>102.4</v>
      </c>
      <c r="I190" s="185" t="s">
        <v>366</v>
      </c>
      <c r="J190" s="151"/>
      <c r="K190" s="151"/>
      <c r="L190" s="1"/>
      <c r="N190" s="37"/>
      <c r="O190" s="38"/>
      <c r="P190" s="38"/>
    </row>
    <row r="191" spans="1:16" ht="20.100000000000001" customHeight="1">
      <c r="A191" s="228"/>
      <c r="B191" s="39"/>
      <c r="C191" s="170" t="s">
        <v>183</v>
      </c>
      <c r="D191" s="254">
        <v>2</v>
      </c>
      <c r="E191" s="255">
        <v>15.85</v>
      </c>
      <c r="F191" s="255">
        <v>8</v>
      </c>
      <c r="G191" s="253"/>
      <c r="H191" s="193">
        <f>F191*E191*D191</f>
        <v>253.6</v>
      </c>
      <c r="I191" s="185" t="s">
        <v>366</v>
      </c>
      <c r="J191" s="151"/>
      <c r="K191" s="151"/>
      <c r="L191" s="1"/>
      <c r="N191" s="37"/>
      <c r="O191" s="38"/>
      <c r="P191" s="38"/>
    </row>
    <row r="192" spans="1:16" ht="20.100000000000001" customHeight="1">
      <c r="A192" s="228"/>
      <c r="B192" s="39"/>
      <c r="C192" s="170" t="s">
        <v>210</v>
      </c>
      <c r="D192" s="254" t="s">
        <v>165</v>
      </c>
      <c r="E192" s="255">
        <v>0.75</v>
      </c>
      <c r="F192" s="255">
        <v>8</v>
      </c>
      <c r="G192" s="253"/>
      <c r="H192" s="193">
        <f>F192*E192*2*4</f>
        <v>48</v>
      </c>
      <c r="I192" s="185" t="s">
        <v>366</v>
      </c>
      <c r="J192" s="151"/>
      <c r="K192" s="151"/>
      <c r="L192" s="1"/>
      <c r="N192" s="37"/>
      <c r="O192" s="38"/>
      <c r="P192" s="38"/>
    </row>
    <row r="193" spans="1:16" ht="20.100000000000001" customHeight="1">
      <c r="A193" s="228"/>
      <c r="B193" s="39"/>
      <c r="C193" s="170" t="s">
        <v>184</v>
      </c>
      <c r="D193" s="249"/>
      <c r="E193" s="249"/>
      <c r="F193" s="249"/>
      <c r="G193" s="250"/>
      <c r="H193" s="189"/>
      <c r="I193" s="229"/>
      <c r="J193" s="191"/>
      <c r="K193" s="191"/>
      <c r="L193" s="1"/>
      <c r="N193" s="37"/>
      <c r="O193" s="38"/>
      <c r="P193" s="38"/>
    </row>
    <row r="194" spans="1:16" ht="20.100000000000001" customHeight="1">
      <c r="A194" s="228"/>
      <c r="B194" s="39"/>
      <c r="C194" s="170" t="s">
        <v>185</v>
      </c>
      <c r="D194" s="251">
        <v>2</v>
      </c>
      <c r="E194" s="252">
        <v>4.4000000000000004</v>
      </c>
      <c r="F194" s="252">
        <v>8</v>
      </c>
      <c r="G194" s="253"/>
      <c r="H194" s="193">
        <f t="shared" ref="H194:H198" si="10">F194*E194*D194</f>
        <v>70.400000000000006</v>
      </c>
      <c r="I194" s="185" t="s">
        <v>366</v>
      </c>
      <c r="J194" s="151"/>
      <c r="K194" s="151"/>
      <c r="L194" s="1"/>
      <c r="N194" s="37"/>
      <c r="O194" s="38"/>
      <c r="P194" s="38"/>
    </row>
    <row r="195" spans="1:16" ht="20.100000000000001" customHeight="1">
      <c r="A195" s="228"/>
      <c r="B195" s="39"/>
      <c r="C195" s="170" t="s">
        <v>211</v>
      </c>
      <c r="D195" s="251">
        <v>2</v>
      </c>
      <c r="E195" s="252">
        <v>5</v>
      </c>
      <c r="F195" s="252">
        <v>3</v>
      </c>
      <c r="G195" s="253"/>
      <c r="H195" s="193">
        <f t="shared" si="10"/>
        <v>30</v>
      </c>
      <c r="I195" s="185" t="s">
        <v>366</v>
      </c>
      <c r="J195" s="151"/>
      <c r="K195" s="151"/>
      <c r="L195" s="1"/>
      <c r="N195" s="37"/>
      <c r="O195" s="38"/>
      <c r="P195" s="38"/>
    </row>
    <row r="196" spans="1:16" ht="20.100000000000001" customHeight="1">
      <c r="A196" s="228"/>
      <c r="B196" s="39"/>
      <c r="C196" s="170" t="s">
        <v>183</v>
      </c>
      <c r="D196" s="251">
        <v>2</v>
      </c>
      <c r="E196" s="252">
        <v>3</v>
      </c>
      <c r="F196" s="252">
        <v>3.2</v>
      </c>
      <c r="G196" s="253"/>
      <c r="H196" s="193">
        <f t="shared" si="10"/>
        <v>19.200000000000003</v>
      </c>
      <c r="I196" s="185" t="s">
        <v>366</v>
      </c>
      <c r="J196" s="151"/>
      <c r="K196" s="151"/>
      <c r="L196" s="1"/>
      <c r="N196" s="37"/>
      <c r="O196" s="38"/>
      <c r="P196" s="38"/>
    </row>
    <row r="197" spans="1:16" ht="20.100000000000001" customHeight="1">
      <c r="A197" s="228"/>
      <c r="B197" s="39"/>
      <c r="C197" s="170" t="s">
        <v>200</v>
      </c>
      <c r="D197" s="251">
        <v>2</v>
      </c>
      <c r="E197" s="255">
        <v>78.040000000000006</v>
      </c>
      <c r="F197" s="252">
        <v>1</v>
      </c>
      <c r="G197" s="253"/>
      <c r="H197" s="193">
        <f t="shared" si="10"/>
        <v>156.08000000000001</v>
      </c>
      <c r="I197" s="185" t="s">
        <v>366</v>
      </c>
      <c r="J197" s="151"/>
      <c r="K197" s="151"/>
      <c r="L197" s="1"/>
      <c r="N197" s="37"/>
      <c r="O197" s="38"/>
      <c r="P197" s="38"/>
    </row>
    <row r="198" spans="1:16" ht="20.100000000000001" customHeight="1">
      <c r="A198" s="228"/>
      <c r="B198" s="39"/>
      <c r="C198" s="170" t="s">
        <v>201</v>
      </c>
      <c r="D198" s="251">
        <v>2</v>
      </c>
      <c r="E198" s="255">
        <v>79.319999999999993</v>
      </c>
      <c r="F198" s="255">
        <v>0.3</v>
      </c>
      <c r="G198" s="253"/>
      <c r="H198" s="193">
        <f t="shared" si="10"/>
        <v>47.591999999999992</v>
      </c>
      <c r="I198" s="185" t="s">
        <v>366</v>
      </c>
      <c r="J198" s="151"/>
      <c r="K198" s="151"/>
      <c r="L198" s="1"/>
      <c r="N198" s="37"/>
      <c r="O198" s="38"/>
      <c r="P198" s="38"/>
    </row>
    <row r="199" spans="1:16" ht="20.100000000000001" customHeight="1">
      <c r="A199" s="228"/>
      <c r="B199" s="39"/>
      <c r="C199" s="170"/>
      <c r="D199" s="251"/>
      <c r="E199" s="255"/>
      <c r="F199" s="255"/>
      <c r="G199" s="253"/>
      <c r="H199" s="193"/>
      <c r="I199" s="185"/>
      <c r="J199" s="151"/>
      <c r="K199" s="151"/>
      <c r="L199" s="1"/>
      <c r="N199" s="37"/>
      <c r="O199" s="38"/>
      <c r="P199" s="38"/>
    </row>
    <row r="200" spans="1:16" ht="20.100000000000001" customHeight="1">
      <c r="A200" s="228"/>
      <c r="B200" s="39"/>
      <c r="C200" s="170" t="s">
        <v>195</v>
      </c>
      <c r="D200" s="249"/>
      <c r="E200" s="249"/>
      <c r="F200" s="249"/>
      <c r="G200" s="250"/>
      <c r="H200" s="189"/>
      <c r="I200" s="229"/>
      <c r="J200" s="191"/>
      <c r="K200" s="191"/>
      <c r="L200" s="1"/>
      <c r="N200" s="37"/>
      <c r="O200" s="38"/>
      <c r="P200" s="38"/>
    </row>
    <row r="201" spans="1:16" ht="20.100000000000001" customHeight="1">
      <c r="A201" s="228"/>
      <c r="B201" s="39"/>
      <c r="C201" s="170" t="s">
        <v>192</v>
      </c>
      <c r="D201" s="251" t="s">
        <v>191</v>
      </c>
      <c r="E201" s="252">
        <v>1.7</v>
      </c>
      <c r="F201" s="252">
        <v>0.7</v>
      </c>
      <c r="G201" s="256"/>
      <c r="H201" s="193">
        <f>F201*E201*2*8</f>
        <v>19.04</v>
      </c>
      <c r="I201" s="185" t="s">
        <v>366</v>
      </c>
      <c r="J201" s="151"/>
      <c r="K201" s="151"/>
      <c r="L201" s="1"/>
      <c r="N201" s="37"/>
      <c r="O201" s="38"/>
      <c r="P201" s="38"/>
    </row>
    <row r="202" spans="1:16" ht="20.100000000000001" customHeight="1">
      <c r="A202" s="228"/>
      <c r="B202" s="39"/>
      <c r="C202" s="170" t="s">
        <v>193</v>
      </c>
      <c r="D202" s="251" t="s">
        <v>213</v>
      </c>
      <c r="E202" s="252">
        <v>0.7</v>
      </c>
      <c r="F202" s="252">
        <v>0.4</v>
      </c>
      <c r="G202" s="256"/>
      <c r="H202" s="193">
        <f>F202*E202*2*8*2</f>
        <v>8.9599999999999991</v>
      </c>
      <c r="I202" s="185" t="s">
        <v>366</v>
      </c>
      <c r="J202" s="151"/>
      <c r="K202" s="151"/>
      <c r="L202" s="1"/>
      <c r="N202" s="37"/>
      <c r="O202" s="38"/>
      <c r="P202" s="38"/>
    </row>
    <row r="203" spans="1:16" ht="20.100000000000001" customHeight="1">
      <c r="A203" s="228"/>
      <c r="B203" s="39"/>
      <c r="C203" s="170" t="s">
        <v>194</v>
      </c>
      <c r="D203" s="251">
        <v>8</v>
      </c>
      <c r="E203" s="252">
        <v>3.4</v>
      </c>
      <c r="F203" s="252">
        <v>0.1</v>
      </c>
      <c r="G203" s="253"/>
      <c r="H203" s="193">
        <f>F203*E203*D203</f>
        <v>2.72</v>
      </c>
      <c r="I203" s="185" t="s">
        <v>366</v>
      </c>
      <c r="J203" s="151"/>
      <c r="K203" s="151"/>
      <c r="L203" s="1"/>
      <c r="N203" s="37"/>
      <c r="O203" s="38"/>
      <c r="P203" s="38"/>
    </row>
    <row r="204" spans="1:16" ht="20.100000000000001" customHeight="1">
      <c r="A204" s="228"/>
      <c r="B204" s="39"/>
      <c r="C204" s="170" t="s">
        <v>212</v>
      </c>
      <c r="D204" s="249"/>
      <c r="E204" s="249"/>
      <c r="F204" s="249"/>
      <c r="G204" s="250"/>
      <c r="H204" s="189"/>
      <c r="I204" s="229"/>
      <c r="J204" s="191"/>
      <c r="K204" s="191"/>
      <c r="L204" s="1"/>
      <c r="N204" s="37"/>
      <c r="O204" s="38"/>
      <c r="P204" s="38"/>
    </row>
    <row r="205" spans="1:16" ht="20.100000000000001" customHeight="1">
      <c r="A205" s="228"/>
      <c r="B205" s="39"/>
      <c r="C205" s="170" t="s">
        <v>192</v>
      </c>
      <c r="D205" s="251" t="s">
        <v>191</v>
      </c>
      <c r="E205" s="252">
        <v>1.2</v>
      </c>
      <c r="F205" s="252">
        <v>0.7</v>
      </c>
      <c r="G205" s="256"/>
      <c r="H205" s="193">
        <f>F205*E205*2*8</f>
        <v>13.44</v>
      </c>
      <c r="I205" s="185" t="s">
        <v>366</v>
      </c>
      <c r="J205" s="151"/>
      <c r="K205" s="151"/>
      <c r="L205" s="1"/>
      <c r="N205" s="37"/>
      <c r="O205" s="38"/>
      <c r="P205" s="38"/>
    </row>
    <row r="206" spans="1:16" ht="20.100000000000001" customHeight="1">
      <c r="A206" s="228"/>
      <c r="B206" s="39"/>
      <c r="C206" s="170" t="s">
        <v>193</v>
      </c>
      <c r="D206" s="251" t="s">
        <v>213</v>
      </c>
      <c r="E206" s="252">
        <v>0.7</v>
      </c>
      <c r="F206" s="252">
        <v>0.4</v>
      </c>
      <c r="G206" s="256"/>
      <c r="H206" s="193">
        <f>F206*E206*2*8*2</f>
        <v>8.9599999999999991</v>
      </c>
      <c r="I206" s="185" t="s">
        <v>366</v>
      </c>
      <c r="J206" s="151"/>
      <c r="K206" s="151"/>
      <c r="L206" s="1"/>
      <c r="N206" s="37"/>
      <c r="O206" s="38"/>
      <c r="P206" s="38"/>
    </row>
    <row r="207" spans="1:16" ht="20.100000000000001" customHeight="1">
      <c r="A207" s="228"/>
      <c r="B207" s="39"/>
      <c r="C207" s="170" t="s">
        <v>194</v>
      </c>
      <c r="D207" s="251">
        <v>8</v>
      </c>
      <c r="E207" s="252">
        <v>2.9</v>
      </c>
      <c r="F207" s="252">
        <v>0.1</v>
      </c>
      <c r="G207" s="253"/>
      <c r="H207" s="193">
        <f>F207*E207*D207</f>
        <v>2.3199999999999998</v>
      </c>
      <c r="I207" s="185" t="s">
        <v>366</v>
      </c>
      <c r="J207" s="151"/>
      <c r="K207" s="151"/>
      <c r="L207" s="1"/>
      <c r="N207" s="37"/>
      <c r="O207" s="38"/>
      <c r="P207" s="38"/>
    </row>
    <row r="208" spans="1:16" ht="20.100000000000001" customHeight="1">
      <c r="A208" s="228"/>
      <c r="B208" s="39"/>
      <c r="C208" s="170" t="s">
        <v>196</v>
      </c>
      <c r="D208" s="249"/>
      <c r="E208" s="249"/>
      <c r="F208" s="249"/>
      <c r="G208" s="250"/>
      <c r="H208" s="189"/>
      <c r="I208" s="229"/>
      <c r="J208" s="191"/>
      <c r="K208" s="191"/>
      <c r="L208" s="1"/>
      <c r="N208" s="37"/>
      <c r="O208" s="38"/>
      <c r="P208" s="38"/>
    </row>
    <row r="209" spans="1:16" ht="20.100000000000001" customHeight="1">
      <c r="A209" s="228"/>
      <c r="B209" s="39"/>
      <c r="C209" s="170" t="s">
        <v>192</v>
      </c>
      <c r="D209" s="251" t="s">
        <v>191</v>
      </c>
      <c r="E209" s="252">
        <v>1.2</v>
      </c>
      <c r="F209" s="252">
        <v>0.7</v>
      </c>
      <c r="G209" s="256"/>
      <c r="H209" s="193">
        <f>F209*E209*2*8</f>
        <v>13.44</v>
      </c>
      <c r="I209" s="185" t="s">
        <v>366</v>
      </c>
      <c r="J209" s="151"/>
      <c r="K209" s="151"/>
      <c r="L209" s="1"/>
      <c r="N209" s="37"/>
      <c r="O209" s="38"/>
      <c r="P209" s="38"/>
    </row>
    <row r="210" spans="1:16" ht="20.100000000000001" customHeight="1">
      <c r="A210" s="228"/>
      <c r="B210" s="39"/>
      <c r="C210" s="170" t="s">
        <v>193</v>
      </c>
      <c r="D210" s="251" t="s">
        <v>213</v>
      </c>
      <c r="E210" s="252">
        <v>0.7</v>
      </c>
      <c r="F210" s="252">
        <v>0.4</v>
      </c>
      <c r="G210" s="256"/>
      <c r="H210" s="193">
        <f>F210*E210*2*8*2</f>
        <v>8.9599999999999991</v>
      </c>
      <c r="I210" s="185" t="s">
        <v>366</v>
      </c>
      <c r="J210" s="151"/>
      <c r="K210" s="151"/>
      <c r="L210" s="1"/>
      <c r="N210" s="37"/>
      <c r="O210" s="38"/>
      <c r="P210" s="38"/>
    </row>
    <row r="211" spans="1:16" ht="20.100000000000001" customHeight="1">
      <c r="A211" s="228"/>
      <c r="B211" s="39"/>
      <c r="C211" s="170" t="s">
        <v>194</v>
      </c>
      <c r="D211" s="251">
        <v>8</v>
      </c>
      <c r="E211" s="252">
        <v>2.9</v>
      </c>
      <c r="F211" s="252">
        <v>0.1</v>
      </c>
      <c r="G211" s="253"/>
      <c r="H211" s="193">
        <f>F211*E211*D211</f>
        <v>2.3199999999999998</v>
      </c>
      <c r="I211" s="185" t="s">
        <v>366</v>
      </c>
      <c r="J211" s="151"/>
      <c r="K211" s="151"/>
      <c r="L211" s="1"/>
      <c r="N211" s="37"/>
      <c r="O211" s="38"/>
      <c r="P211" s="38"/>
    </row>
    <row r="212" spans="1:16" ht="20.100000000000001" customHeight="1">
      <c r="A212" s="228"/>
      <c r="B212" s="39"/>
      <c r="C212" s="170" t="s">
        <v>214</v>
      </c>
      <c r="D212" s="249"/>
      <c r="E212" s="249"/>
      <c r="F212" s="249"/>
      <c r="G212" s="250"/>
      <c r="H212" s="189"/>
      <c r="I212" s="229"/>
      <c r="J212" s="191"/>
      <c r="K212" s="191"/>
      <c r="L212" s="1"/>
      <c r="N212" s="37"/>
      <c r="O212" s="38"/>
      <c r="P212" s="38"/>
    </row>
    <row r="213" spans="1:16" ht="20.100000000000001" customHeight="1">
      <c r="A213" s="228"/>
      <c r="B213" s="39"/>
      <c r="C213" s="170" t="s">
        <v>192</v>
      </c>
      <c r="D213" s="251">
        <v>2</v>
      </c>
      <c r="E213" s="252">
        <v>2.61</v>
      </c>
      <c r="F213" s="252">
        <v>0.7</v>
      </c>
      <c r="G213" s="253"/>
      <c r="H213" s="193">
        <f>F213*E213*D213</f>
        <v>3.6539999999999995</v>
      </c>
      <c r="I213" s="185" t="s">
        <v>366</v>
      </c>
      <c r="J213" s="151"/>
      <c r="K213" s="151"/>
      <c r="L213" s="1"/>
      <c r="N213" s="37"/>
      <c r="O213" s="38"/>
      <c r="P213" s="38"/>
    </row>
    <row r="214" spans="1:16" ht="20.100000000000001" customHeight="1">
      <c r="A214" s="228"/>
      <c r="B214" s="39"/>
      <c r="C214" s="170" t="s">
        <v>194</v>
      </c>
      <c r="D214" s="251">
        <v>1</v>
      </c>
      <c r="E214" s="252">
        <v>2.61</v>
      </c>
      <c r="F214" s="252">
        <v>0.6</v>
      </c>
      <c r="G214" s="253"/>
      <c r="H214" s="193">
        <f>F214*E214*D214</f>
        <v>1.5659999999999998</v>
      </c>
      <c r="I214" s="185" t="s">
        <v>366</v>
      </c>
      <c r="J214" s="151"/>
      <c r="K214" s="151"/>
      <c r="L214" s="1"/>
      <c r="N214" s="37"/>
      <c r="O214" s="38"/>
      <c r="P214" s="38"/>
    </row>
    <row r="215" spans="1:16" ht="20.100000000000001" customHeight="1">
      <c r="A215" s="228"/>
      <c r="B215" s="39"/>
      <c r="C215" s="170" t="s">
        <v>215</v>
      </c>
      <c r="D215" s="254">
        <v>1</v>
      </c>
      <c r="E215" s="255">
        <v>2.1</v>
      </c>
      <c r="F215" s="255">
        <v>4</v>
      </c>
      <c r="G215" s="253"/>
      <c r="H215" s="193">
        <f>F215*E215*D215</f>
        <v>8.4</v>
      </c>
      <c r="I215" s="185" t="s">
        <v>366</v>
      </c>
      <c r="J215" s="151"/>
      <c r="K215" s="151"/>
      <c r="L215" s="1"/>
      <c r="N215" s="37"/>
      <c r="O215" s="38"/>
      <c r="P215" s="38"/>
    </row>
    <row r="216" spans="1:16" ht="20.100000000000001" customHeight="1">
      <c r="A216" s="228"/>
      <c r="B216" s="39"/>
      <c r="C216" s="170" t="s">
        <v>194</v>
      </c>
      <c r="D216" s="254">
        <v>1</v>
      </c>
      <c r="E216" s="255">
        <v>2.1</v>
      </c>
      <c r="F216" s="255">
        <v>0.4</v>
      </c>
      <c r="G216" s="253"/>
      <c r="H216" s="193">
        <f>F216*E216*D216</f>
        <v>0.84000000000000008</v>
      </c>
      <c r="I216" s="185" t="s">
        <v>366</v>
      </c>
      <c r="J216" s="151"/>
      <c r="K216" s="151"/>
      <c r="L216" s="1"/>
      <c r="N216" s="37"/>
      <c r="O216" s="38"/>
      <c r="P216" s="38"/>
    </row>
    <row r="217" spans="1:16" ht="20.100000000000001" customHeight="1">
      <c r="A217" s="228"/>
      <c r="B217" s="39"/>
      <c r="C217" s="170" t="s">
        <v>216</v>
      </c>
      <c r="D217" s="254">
        <v>2</v>
      </c>
      <c r="E217" s="255">
        <v>1.7</v>
      </c>
      <c r="F217" s="255">
        <v>1</v>
      </c>
      <c r="G217" s="253"/>
      <c r="H217" s="193">
        <f>F217*E217*D217</f>
        <v>3.4</v>
      </c>
      <c r="I217" s="185" t="s">
        <v>366</v>
      </c>
      <c r="J217" s="151"/>
      <c r="K217" s="151"/>
      <c r="L217" s="1"/>
      <c r="N217" s="37"/>
      <c r="O217" s="38"/>
      <c r="P217" s="38"/>
    </row>
    <row r="218" spans="1:16" ht="20.100000000000001" customHeight="1">
      <c r="A218" s="228"/>
      <c r="B218" s="39"/>
      <c r="C218" s="248" t="s">
        <v>167</v>
      </c>
      <c r="D218" s="34"/>
      <c r="E218" s="35"/>
      <c r="F218" s="205"/>
      <c r="G218" s="206"/>
      <c r="H218" s="189"/>
      <c r="I218" s="229"/>
      <c r="J218" s="191"/>
      <c r="K218" s="191"/>
      <c r="L218" s="1"/>
      <c r="N218" s="37"/>
      <c r="O218" s="38"/>
      <c r="P218" s="38"/>
    </row>
    <row r="219" spans="1:16" ht="20.100000000000001" customHeight="1">
      <c r="A219" s="228"/>
      <c r="B219" s="39"/>
      <c r="C219" s="170" t="s">
        <v>149</v>
      </c>
      <c r="D219" s="34"/>
      <c r="E219" s="35"/>
      <c r="F219" s="205"/>
      <c r="G219" s="206"/>
      <c r="H219" s="189"/>
      <c r="I219" s="229"/>
      <c r="J219" s="191"/>
      <c r="K219" s="191"/>
      <c r="L219" s="1"/>
      <c r="N219" s="37"/>
      <c r="O219" s="38"/>
      <c r="P219" s="38"/>
    </row>
    <row r="220" spans="1:16" ht="20.100000000000001" customHeight="1">
      <c r="A220" s="228"/>
      <c r="B220" s="39"/>
      <c r="C220" s="170" t="s">
        <v>171</v>
      </c>
      <c r="D220" s="34">
        <v>-8</v>
      </c>
      <c r="E220" s="35">
        <v>1.5</v>
      </c>
      <c r="F220" s="205">
        <v>1.2</v>
      </c>
      <c r="G220" s="206"/>
      <c r="H220" s="193">
        <f>F220*E220*D220</f>
        <v>-14.399999999999999</v>
      </c>
      <c r="I220" s="185" t="s">
        <v>366</v>
      </c>
      <c r="J220" s="151"/>
      <c r="K220" s="151"/>
      <c r="L220" s="1"/>
      <c r="N220" s="37"/>
      <c r="O220" s="38"/>
      <c r="P220" s="38"/>
    </row>
    <row r="221" spans="1:16" ht="20.100000000000001" customHeight="1">
      <c r="A221" s="228"/>
      <c r="B221" s="39"/>
      <c r="C221" s="170" t="s">
        <v>172</v>
      </c>
      <c r="D221" s="34"/>
      <c r="E221" s="35"/>
      <c r="F221" s="205"/>
      <c r="G221" s="206"/>
      <c r="H221" s="189"/>
      <c r="I221" s="229"/>
      <c r="J221" s="191"/>
      <c r="K221" s="191"/>
      <c r="L221" s="1"/>
      <c r="N221" s="37"/>
      <c r="O221" s="38"/>
      <c r="P221" s="38"/>
    </row>
    <row r="222" spans="1:16" ht="20.100000000000001" customHeight="1">
      <c r="A222" s="228"/>
      <c r="B222" s="39"/>
      <c r="C222" s="170" t="s">
        <v>173</v>
      </c>
      <c r="D222" s="34">
        <v>-8</v>
      </c>
      <c r="E222" s="35">
        <v>1</v>
      </c>
      <c r="F222" s="205">
        <v>1.2</v>
      </c>
      <c r="G222" s="206"/>
      <c r="H222" s="193">
        <f>F222*E222*D222</f>
        <v>-9.6</v>
      </c>
      <c r="I222" s="185" t="s">
        <v>366</v>
      </c>
      <c r="J222" s="151"/>
      <c r="K222" s="151"/>
      <c r="L222" s="1"/>
      <c r="N222" s="37"/>
      <c r="O222" s="38"/>
      <c r="P222" s="38"/>
    </row>
    <row r="223" spans="1:16" ht="20.100000000000001" customHeight="1">
      <c r="A223" s="228"/>
      <c r="B223" s="39"/>
      <c r="C223" s="170" t="s">
        <v>204</v>
      </c>
      <c r="D223" s="34"/>
      <c r="E223" s="35"/>
      <c r="F223" s="205"/>
      <c r="G223" s="206"/>
      <c r="H223" s="189"/>
      <c r="I223" s="229"/>
      <c r="J223" s="191"/>
      <c r="K223" s="191"/>
      <c r="L223" s="1"/>
      <c r="N223" s="37"/>
      <c r="O223" s="38"/>
      <c r="P223" s="38"/>
    </row>
    <row r="224" spans="1:16" ht="20.100000000000001" customHeight="1">
      <c r="A224" s="228"/>
      <c r="B224" s="39"/>
      <c r="C224" s="170" t="s">
        <v>175</v>
      </c>
      <c r="D224" s="34">
        <f>-8</f>
        <v>-8</v>
      </c>
      <c r="E224" s="35">
        <v>0.6</v>
      </c>
      <c r="F224" s="205">
        <v>0.2</v>
      </c>
      <c r="G224" s="206"/>
      <c r="H224" s="193">
        <f>F224*E224*D224</f>
        <v>-0.96</v>
      </c>
      <c r="I224" s="185" t="s">
        <v>366</v>
      </c>
      <c r="J224" s="151"/>
      <c r="K224" s="151"/>
      <c r="L224" s="1"/>
      <c r="N224" s="37"/>
      <c r="O224" s="38"/>
      <c r="P224" s="38"/>
    </row>
    <row r="225" spans="1:16" ht="20.100000000000001" customHeight="1">
      <c r="A225" s="228"/>
      <c r="B225" s="39"/>
      <c r="C225" s="170" t="s">
        <v>159</v>
      </c>
      <c r="D225" s="34"/>
      <c r="E225" s="35"/>
      <c r="F225" s="205"/>
      <c r="G225" s="206"/>
      <c r="H225" s="189"/>
      <c r="I225" s="229"/>
      <c r="J225" s="191"/>
      <c r="K225" s="191"/>
      <c r="L225" s="1"/>
      <c r="N225" s="37"/>
      <c r="O225" s="38"/>
      <c r="P225" s="38"/>
    </row>
    <row r="226" spans="1:16" ht="20.100000000000001" customHeight="1">
      <c r="A226" s="228"/>
      <c r="B226" s="39"/>
      <c r="C226" s="170" t="s">
        <v>174</v>
      </c>
      <c r="D226" s="34">
        <v>-8</v>
      </c>
      <c r="E226" s="35">
        <v>0.6</v>
      </c>
      <c r="F226" s="205">
        <v>1.2</v>
      </c>
      <c r="G226" s="206"/>
      <c r="H226" s="193">
        <f>F226*E226*D226</f>
        <v>-5.76</v>
      </c>
      <c r="I226" s="185" t="s">
        <v>366</v>
      </c>
      <c r="J226" s="151"/>
      <c r="K226" s="151"/>
      <c r="L226" s="1"/>
      <c r="N226" s="37"/>
      <c r="O226" s="38"/>
      <c r="P226" s="38"/>
    </row>
    <row r="227" spans="1:16" ht="20.100000000000001" customHeight="1">
      <c r="A227" s="228"/>
      <c r="B227" s="39"/>
      <c r="C227" s="170" t="s">
        <v>205</v>
      </c>
      <c r="D227" s="34"/>
      <c r="E227" s="35"/>
      <c r="F227" s="205"/>
      <c r="G227" s="206"/>
      <c r="H227" s="189"/>
      <c r="I227" s="229"/>
      <c r="J227" s="191"/>
      <c r="K227" s="191"/>
      <c r="L227" s="1"/>
      <c r="N227" s="37"/>
      <c r="O227" s="38"/>
      <c r="P227" s="38"/>
    </row>
    <row r="228" spans="1:16" ht="20.100000000000001" customHeight="1">
      <c r="A228" s="228"/>
      <c r="B228" s="39"/>
      <c r="C228" s="170" t="s">
        <v>206</v>
      </c>
      <c r="D228" s="34">
        <v>-1</v>
      </c>
      <c r="E228" s="35">
        <v>2.15</v>
      </c>
      <c r="F228" s="205">
        <v>2</v>
      </c>
      <c r="G228" s="206"/>
      <c r="H228" s="193">
        <f>F228*E228*D228</f>
        <v>-4.3</v>
      </c>
      <c r="I228" s="185" t="s">
        <v>366</v>
      </c>
      <c r="J228" s="151"/>
      <c r="K228" s="151"/>
      <c r="L228" s="1"/>
      <c r="N228" s="37"/>
      <c r="O228" s="38"/>
      <c r="P228" s="38"/>
    </row>
    <row r="229" spans="1:16" ht="20.100000000000001" customHeight="1">
      <c r="A229" s="228"/>
      <c r="B229" s="39"/>
      <c r="C229" s="170"/>
      <c r="D229" s="257"/>
      <c r="E229" s="257"/>
      <c r="F229" s="850" t="s">
        <v>263</v>
      </c>
      <c r="G229" s="851"/>
      <c r="H229" s="189">
        <f>SUM(H189:H228)</f>
        <v>1022.0400000000004</v>
      </c>
      <c r="I229" s="229" t="s">
        <v>368</v>
      </c>
      <c r="J229" s="191"/>
      <c r="K229" s="191"/>
      <c r="L229" s="1"/>
      <c r="N229" s="37"/>
      <c r="O229" s="38"/>
      <c r="P229" s="38"/>
    </row>
    <row r="230" spans="1:16" ht="20.100000000000001" customHeight="1">
      <c r="A230" s="279"/>
      <c r="B230" s="103"/>
      <c r="C230" s="360"/>
      <c r="D230" s="851" t="s">
        <v>298</v>
      </c>
      <c r="E230" s="851"/>
      <c r="F230" s="856"/>
      <c r="G230" s="362" t="s">
        <v>10</v>
      </c>
      <c r="H230" s="233">
        <f>ROUNDUP(H229,0)</f>
        <v>1023</v>
      </c>
      <c r="I230" s="234" t="s">
        <v>373</v>
      </c>
      <c r="J230" s="359"/>
      <c r="K230" s="351"/>
      <c r="L230" s="1"/>
      <c r="N230" s="37"/>
      <c r="O230" s="38"/>
      <c r="P230" s="38"/>
    </row>
    <row r="231" spans="1:16" ht="20.100000000000001" customHeight="1">
      <c r="A231" s="228"/>
      <c r="B231" s="39"/>
      <c r="C231" s="170"/>
      <c r="D231" s="365"/>
      <c r="E231" s="365"/>
      <c r="F231" s="259"/>
      <c r="G231" s="236"/>
      <c r="H231" s="189"/>
      <c r="I231" s="229"/>
      <c r="J231" s="191"/>
      <c r="K231" s="151"/>
      <c r="L231" s="1"/>
      <c r="N231" s="167"/>
      <c r="O231" s="162"/>
      <c r="P231" s="162"/>
    </row>
    <row r="232" spans="1:16" ht="20.100000000000001" customHeight="1">
      <c r="A232" s="228"/>
      <c r="B232" s="260" t="s">
        <v>299</v>
      </c>
      <c r="C232" s="101" t="s">
        <v>179</v>
      </c>
      <c r="D232" s="249"/>
      <c r="E232" s="249"/>
      <c r="F232" s="249"/>
      <c r="G232" s="250"/>
      <c r="H232" s="189"/>
      <c r="I232" s="229"/>
      <c r="J232" s="191"/>
      <c r="K232" s="191"/>
      <c r="L232" s="1"/>
      <c r="N232" s="37"/>
      <c r="O232" s="38"/>
      <c r="P232" s="38"/>
    </row>
    <row r="233" spans="1:16" ht="20.100000000000001" customHeight="1">
      <c r="A233" s="228"/>
      <c r="B233" s="39"/>
      <c r="C233" s="170" t="s">
        <v>180</v>
      </c>
      <c r="D233" s="254">
        <v>2</v>
      </c>
      <c r="E233" s="254">
        <v>20.309999999999999</v>
      </c>
      <c r="F233" s="255">
        <v>10.7</v>
      </c>
      <c r="G233" s="253"/>
      <c r="H233" s="193">
        <f>F233*E233*D233</f>
        <v>434.63399999999996</v>
      </c>
      <c r="I233" s="185" t="s">
        <v>366</v>
      </c>
      <c r="J233" s="151"/>
      <c r="K233" s="151"/>
      <c r="L233" s="1"/>
      <c r="N233" s="37"/>
      <c r="O233" s="38"/>
      <c r="P233" s="38"/>
    </row>
    <row r="234" spans="1:16" ht="20.100000000000001" customHeight="1">
      <c r="A234" s="228"/>
      <c r="B234" s="39"/>
      <c r="C234" s="170" t="s">
        <v>181</v>
      </c>
      <c r="D234" s="254" t="s">
        <v>131</v>
      </c>
      <c r="E234" s="255">
        <v>1.33</v>
      </c>
      <c r="F234" s="255">
        <v>8</v>
      </c>
      <c r="G234" s="253"/>
      <c r="H234" s="193">
        <f>F234*E234*2*4</f>
        <v>85.12</v>
      </c>
      <c r="I234" s="185" t="s">
        <v>366</v>
      </c>
      <c r="J234" s="151"/>
      <c r="K234" s="151"/>
      <c r="L234" s="1"/>
      <c r="N234" s="37"/>
      <c r="O234" s="38"/>
      <c r="P234" s="38"/>
    </row>
    <row r="235" spans="1:16" ht="20.100000000000001" customHeight="1">
      <c r="A235" s="228"/>
      <c r="B235" s="39"/>
      <c r="C235" s="170" t="s">
        <v>182</v>
      </c>
      <c r="D235" s="254">
        <v>2</v>
      </c>
      <c r="E235" s="255">
        <v>1.2</v>
      </c>
      <c r="F235" s="255">
        <v>2.15</v>
      </c>
      <c r="G235" s="253"/>
      <c r="H235" s="193">
        <f>F235*E235*D235</f>
        <v>5.1599999999999993</v>
      </c>
      <c r="I235" s="185" t="s">
        <v>366</v>
      </c>
      <c r="J235" s="151"/>
      <c r="K235" s="151"/>
      <c r="L235" s="1"/>
      <c r="N235" s="37"/>
      <c r="O235" s="38"/>
      <c r="P235" s="38"/>
    </row>
    <row r="236" spans="1:16" ht="20.100000000000001" customHeight="1">
      <c r="A236" s="228"/>
      <c r="B236" s="39"/>
      <c r="C236" s="170" t="s">
        <v>183</v>
      </c>
      <c r="D236" s="254">
        <v>2</v>
      </c>
      <c r="E236" s="255">
        <v>6.7</v>
      </c>
      <c r="F236" s="255">
        <v>8</v>
      </c>
      <c r="G236" s="253"/>
      <c r="H236" s="193">
        <f>F236*E236*D236</f>
        <v>107.2</v>
      </c>
      <c r="I236" s="185" t="s">
        <v>366</v>
      </c>
      <c r="J236" s="151"/>
      <c r="K236" s="151"/>
      <c r="L236" s="1"/>
      <c r="N236" s="37"/>
      <c r="O236" s="38"/>
      <c r="P236" s="38"/>
    </row>
    <row r="237" spans="1:16" ht="20.100000000000001" customHeight="1">
      <c r="A237" s="228"/>
      <c r="B237" s="39"/>
      <c r="C237" s="170" t="s">
        <v>184</v>
      </c>
      <c r="D237" s="261"/>
      <c r="E237" s="261"/>
      <c r="F237" s="261"/>
      <c r="G237" s="250"/>
      <c r="H237" s="189"/>
      <c r="I237" s="229"/>
      <c r="J237" s="191"/>
      <c r="K237" s="191"/>
      <c r="L237" s="1"/>
      <c r="N237" s="37"/>
      <c r="O237" s="38"/>
      <c r="P237" s="38"/>
    </row>
    <row r="238" spans="1:16" ht="20.100000000000001" customHeight="1">
      <c r="A238" s="228"/>
      <c r="B238" s="39"/>
      <c r="C238" s="170" t="s">
        <v>185</v>
      </c>
      <c r="D238" s="254">
        <v>2</v>
      </c>
      <c r="E238" s="255">
        <v>2.35</v>
      </c>
      <c r="F238" s="255">
        <v>8</v>
      </c>
      <c r="G238" s="253"/>
      <c r="H238" s="193">
        <f>F238*E238*D238</f>
        <v>37.6</v>
      </c>
      <c r="I238" s="185" t="s">
        <v>366</v>
      </c>
      <c r="J238" s="151"/>
      <c r="K238" s="151"/>
      <c r="L238" s="1"/>
      <c r="N238" s="37"/>
      <c r="O238" s="38"/>
      <c r="P238" s="38"/>
    </row>
    <row r="239" spans="1:16" ht="20.100000000000001" customHeight="1">
      <c r="A239" s="228"/>
      <c r="B239" s="39"/>
      <c r="C239" s="170" t="s">
        <v>186</v>
      </c>
      <c r="D239" s="254">
        <v>2</v>
      </c>
      <c r="E239" s="255">
        <v>2.35</v>
      </c>
      <c r="F239" s="255">
        <v>1.6</v>
      </c>
      <c r="G239" s="253"/>
      <c r="H239" s="193">
        <f>F239*E239*D239</f>
        <v>7.5200000000000005</v>
      </c>
      <c r="I239" s="185" t="s">
        <v>366</v>
      </c>
      <c r="J239" s="151"/>
      <c r="K239" s="151"/>
      <c r="L239" s="1"/>
      <c r="N239" s="37"/>
      <c r="O239" s="38"/>
      <c r="P239" s="38"/>
    </row>
    <row r="240" spans="1:16" ht="20.100000000000001" customHeight="1">
      <c r="A240" s="228"/>
      <c r="B240" s="39"/>
      <c r="C240" s="170" t="s">
        <v>187</v>
      </c>
      <c r="D240" s="254">
        <v>2</v>
      </c>
      <c r="E240" s="255">
        <v>0.7</v>
      </c>
      <c r="F240" s="255">
        <v>8</v>
      </c>
      <c r="G240" s="253"/>
      <c r="H240" s="193">
        <f>F240*E240*D240</f>
        <v>11.2</v>
      </c>
      <c r="I240" s="185" t="s">
        <v>366</v>
      </c>
      <c r="J240" s="151"/>
      <c r="K240" s="151"/>
      <c r="L240" s="1"/>
      <c r="N240" s="37"/>
      <c r="O240" s="38"/>
      <c r="P240" s="38"/>
    </row>
    <row r="241" spans="1:16" ht="20.100000000000001" customHeight="1">
      <c r="A241" s="228"/>
      <c r="B241" s="39"/>
      <c r="C241" s="170"/>
      <c r="D241" s="254">
        <v>2</v>
      </c>
      <c r="E241" s="255">
        <v>0.7</v>
      </c>
      <c r="F241" s="255">
        <v>1.6</v>
      </c>
      <c r="G241" s="253"/>
      <c r="H241" s="193">
        <f>F241*E241*D241</f>
        <v>2.2399999999999998</v>
      </c>
      <c r="I241" s="185" t="s">
        <v>366</v>
      </c>
      <c r="J241" s="151"/>
      <c r="K241" s="151"/>
      <c r="L241" s="1"/>
      <c r="N241" s="37"/>
      <c r="O241" s="38"/>
      <c r="P241" s="38"/>
    </row>
    <row r="242" spans="1:16" ht="20.100000000000001" customHeight="1">
      <c r="A242" s="228"/>
      <c r="B242" s="39"/>
      <c r="C242" s="170" t="s">
        <v>188</v>
      </c>
      <c r="D242" s="261"/>
      <c r="E242" s="261"/>
      <c r="F242" s="261"/>
      <c r="G242" s="250"/>
      <c r="H242" s="189"/>
      <c r="I242" s="229"/>
      <c r="J242" s="191"/>
      <c r="K242" s="191"/>
      <c r="L242" s="1"/>
      <c r="N242" s="37"/>
      <c r="O242" s="38"/>
      <c r="P242" s="38"/>
    </row>
    <row r="243" spans="1:16" ht="20.100000000000001" customHeight="1">
      <c r="A243" s="228"/>
      <c r="B243" s="39"/>
      <c r="C243" s="158" t="s">
        <v>189</v>
      </c>
      <c r="D243" s="262">
        <v>2</v>
      </c>
      <c r="E243" s="263">
        <v>3.5</v>
      </c>
      <c r="F243" s="263">
        <v>3.2</v>
      </c>
      <c r="G243" s="257"/>
      <c r="H243" s="193">
        <f>F243*E243*D243</f>
        <v>22.400000000000002</v>
      </c>
      <c r="I243" s="185" t="s">
        <v>366</v>
      </c>
      <c r="J243" s="151"/>
      <c r="K243" s="151"/>
      <c r="L243" s="1"/>
      <c r="N243" s="37"/>
      <c r="O243" s="38"/>
      <c r="P243" s="38"/>
    </row>
    <row r="244" spans="1:16" ht="20.100000000000001" customHeight="1">
      <c r="A244" s="228"/>
      <c r="B244" s="39"/>
      <c r="C244" s="158" t="s">
        <v>190</v>
      </c>
      <c r="D244" s="262">
        <v>2</v>
      </c>
      <c r="E244" s="263">
        <v>2.7</v>
      </c>
      <c r="F244" s="263">
        <v>1.6</v>
      </c>
      <c r="G244" s="257"/>
      <c r="H244" s="193">
        <f>F244*E244*D244</f>
        <v>8.64</v>
      </c>
      <c r="I244" s="185" t="s">
        <v>366</v>
      </c>
      <c r="J244" s="151"/>
      <c r="K244" s="151"/>
      <c r="L244" s="1"/>
      <c r="N244" s="37"/>
      <c r="O244" s="38"/>
      <c r="P244" s="38"/>
    </row>
    <row r="245" spans="1:16" ht="20.100000000000001" customHeight="1">
      <c r="A245" s="228"/>
      <c r="B245" s="39"/>
      <c r="C245" s="170" t="s">
        <v>195</v>
      </c>
      <c r="D245" s="261"/>
      <c r="E245" s="261"/>
      <c r="F245" s="261"/>
      <c r="G245" s="250"/>
      <c r="H245" s="189"/>
      <c r="I245" s="229"/>
      <c r="J245" s="191"/>
      <c r="K245" s="191"/>
      <c r="L245" s="1"/>
      <c r="N245" s="37"/>
      <c r="O245" s="38"/>
      <c r="P245" s="38"/>
    </row>
    <row r="246" spans="1:16" ht="20.100000000000001" customHeight="1">
      <c r="A246" s="228"/>
      <c r="B246" s="39"/>
      <c r="C246" s="170" t="s">
        <v>192</v>
      </c>
      <c r="D246" s="254" t="s">
        <v>191</v>
      </c>
      <c r="E246" s="255">
        <v>2.2000000000000002</v>
      </c>
      <c r="F246" s="255">
        <v>0.8</v>
      </c>
      <c r="G246" s="256"/>
      <c r="H246" s="193">
        <f>F246*E246*2*8</f>
        <v>28.160000000000004</v>
      </c>
      <c r="I246" s="185" t="s">
        <v>366</v>
      </c>
      <c r="J246" s="151"/>
      <c r="K246" s="151"/>
      <c r="L246" s="1"/>
      <c r="N246" s="37"/>
      <c r="O246" s="38"/>
      <c r="P246" s="38"/>
    </row>
    <row r="247" spans="1:16" ht="20.100000000000001" customHeight="1">
      <c r="A247" s="228"/>
      <c r="B247" s="39"/>
      <c r="C247" s="170" t="s">
        <v>193</v>
      </c>
      <c r="D247" s="254" t="s">
        <v>191</v>
      </c>
      <c r="E247" s="255">
        <v>1</v>
      </c>
      <c r="F247" s="255">
        <v>0.1</v>
      </c>
      <c r="G247" s="256"/>
      <c r="H247" s="193">
        <f>F247*E247*2*8</f>
        <v>1.6</v>
      </c>
      <c r="I247" s="185" t="s">
        <v>366</v>
      </c>
      <c r="J247" s="151"/>
      <c r="K247" s="151"/>
      <c r="L247" s="1"/>
      <c r="N247" s="37"/>
      <c r="O247" s="38"/>
      <c r="P247" s="38"/>
    </row>
    <row r="248" spans="1:16" ht="20.100000000000001" customHeight="1">
      <c r="A248" s="228"/>
      <c r="B248" s="39"/>
      <c r="C248" s="170" t="s">
        <v>194</v>
      </c>
      <c r="D248" s="254">
        <v>8</v>
      </c>
      <c r="E248" s="255">
        <v>2.2000000000000002</v>
      </c>
      <c r="F248" s="255">
        <v>0.6</v>
      </c>
      <c r="G248" s="253"/>
      <c r="H248" s="193">
        <f>F248*E248*D248</f>
        <v>10.56</v>
      </c>
      <c r="I248" s="185" t="s">
        <v>366</v>
      </c>
      <c r="J248" s="151"/>
      <c r="K248" s="151"/>
      <c r="L248" s="1"/>
      <c r="N248" s="142"/>
      <c r="O248" s="141"/>
      <c r="P248" s="141"/>
    </row>
    <row r="249" spans="1:16" ht="20.100000000000001" customHeight="1">
      <c r="A249" s="228"/>
      <c r="B249" s="39"/>
      <c r="C249" s="170" t="s">
        <v>196</v>
      </c>
      <c r="D249" s="261"/>
      <c r="E249" s="261"/>
      <c r="F249" s="261"/>
      <c r="G249" s="250"/>
      <c r="H249" s="189"/>
      <c r="I249" s="229"/>
      <c r="J249" s="191"/>
      <c r="K249" s="191"/>
      <c r="L249" s="1"/>
      <c r="N249" s="37"/>
      <c r="O249" s="38"/>
      <c r="P249" s="38"/>
    </row>
    <row r="250" spans="1:16" ht="20.100000000000001" customHeight="1">
      <c r="A250" s="228"/>
      <c r="B250" s="39"/>
      <c r="C250" s="170" t="s">
        <v>192</v>
      </c>
      <c r="D250" s="254" t="s">
        <v>191</v>
      </c>
      <c r="E250" s="255">
        <v>1.1000000000000001</v>
      </c>
      <c r="F250" s="255">
        <v>0.8</v>
      </c>
      <c r="G250" s="256"/>
      <c r="H250" s="193">
        <f>F250*E250*2*8</f>
        <v>14.080000000000002</v>
      </c>
      <c r="I250" s="185" t="s">
        <v>366</v>
      </c>
      <c r="J250" s="151"/>
      <c r="K250" s="151"/>
      <c r="L250" s="1"/>
      <c r="N250" s="37"/>
      <c r="O250" s="38"/>
      <c r="P250" s="38"/>
    </row>
    <row r="251" spans="1:16" ht="20.100000000000001" customHeight="1">
      <c r="A251" s="228"/>
      <c r="B251" s="39"/>
      <c r="C251" s="170" t="s">
        <v>193</v>
      </c>
      <c r="D251" s="254" t="s">
        <v>191</v>
      </c>
      <c r="E251" s="255">
        <v>1</v>
      </c>
      <c r="F251" s="255">
        <v>0.1</v>
      </c>
      <c r="G251" s="256"/>
      <c r="H251" s="193">
        <f>F251*E251*2*8</f>
        <v>1.6</v>
      </c>
      <c r="I251" s="185" t="s">
        <v>366</v>
      </c>
      <c r="J251" s="151"/>
      <c r="K251" s="151"/>
      <c r="L251" s="1"/>
      <c r="N251" s="37"/>
      <c r="O251" s="38"/>
      <c r="P251" s="38"/>
    </row>
    <row r="252" spans="1:16" ht="20.100000000000001" customHeight="1">
      <c r="A252" s="228"/>
      <c r="B252" s="39"/>
      <c r="C252" s="170" t="s">
        <v>194</v>
      </c>
      <c r="D252" s="254">
        <v>8</v>
      </c>
      <c r="E252" s="255">
        <v>1.1000000000000001</v>
      </c>
      <c r="F252" s="255">
        <v>0.6</v>
      </c>
      <c r="G252" s="253"/>
      <c r="H252" s="193">
        <f>F252*E252*D252</f>
        <v>5.28</v>
      </c>
      <c r="I252" s="185" t="s">
        <v>366</v>
      </c>
      <c r="J252" s="151"/>
      <c r="K252" s="151"/>
      <c r="L252" s="1"/>
      <c r="N252" s="37"/>
      <c r="O252" s="38"/>
      <c r="P252" s="38"/>
    </row>
    <row r="253" spans="1:16" ht="20.100000000000001" customHeight="1">
      <c r="A253" s="228"/>
      <c r="B253" s="39"/>
      <c r="C253" s="170" t="s">
        <v>197</v>
      </c>
      <c r="D253" s="264"/>
      <c r="E253" s="264"/>
      <c r="F253" s="264"/>
      <c r="G253" s="253"/>
      <c r="H253" s="193"/>
      <c r="I253" s="185"/>
      <c r="J253" s="265"/>
      <c r="K253" s="265"/>
      <c r="L253" s="1"/>
      <c r="N253" s="37"/>
      <c r="O253" s="38"/>
      <c r="P253" s="38"/>
    </row>
    <row r="254" spans="1:16" ht="20.100000000000001" customHeight="1">
      <c r="A254" s="228"/>
      <c r="B254" s="39"/>
      <c r="C254" s="170" t="s">
        <v>192</v>
      </c>
      <c r="D254" s="254" t="s">
        <v>191</v>
      </c>
      <c r="E254" s="255">
        <v>1.6</v>
      </c>
      <c r="F254" s="255">
        <v>0.8</v>
      </c>
      <c r="G254" s="256"/>
      <c r="H254" s="193">
        <f>F254*E254*2*8</f>
        <v>20.480000000000004</v>
      </c>
      <c r="I254" s="185" t="s">
        <v>366</v>
      </c>
      <c r="J254" s="151"/>
      <c r="K254" s="151"/>
      <c r="L254" s="1"/>
      <c r="N254" s="37"/>
      <c r="O254" s="38"/>
      <c r="P254" s="38"/>
    </row>
    <row r="255" spans="1:16" ht="20.100000000000001" customHeight="1">
      <c r="A255" s="228"/>
      <c r="B255" s="39"/>
      <c r="C255" s="170" t="s">
        <v>193</v>
      </c>
      <c r="D255" s="254" t="s">
        <v>191</v>
      </c>
      <c r="E255" s="255">
        <v>1</v>
      </c>
      <c r="F255" s="255">
        <v>0.1</v>
      </c>
      <c r="G255" s="256"/>
      <c r="H255" s="193">
        <f>F255*E255*2*8</f>
        <v>1.6</v>
      </c>
      <c r="I255" s="185" t="s">
        <v>366</v>
      </c>
      <c r="J255" s="151"/>
      <c r="K255" s="151"/>
      <c r="L255" s="1"/>
      <c r="N255" s="37"/>
      <c r="O255" s="38"/>
      <c r="P255" s="38"/>
    </row>
    <row r="256" spans="1:16" ht="20.100000000000001" customHeight="1">
      <c r="A256" s="228"/>
      <c r="B256" s="39"/>
      <c r="C256" s="170" t="s">
        <v>194</v>
      </c>
      <c r="D256" s="254">
        <v>8</v>
      </c>
      <c r="E256" s="255">
        <v>1.6</v>
      </c>
      <c r="F256" s="255">
        <v>0.6</v>
      </c>
      <c r="G256" s="253"/>
      <c r="H256" s="193">
        <f>F256*E256*D256</f>
        <v>7.68</v>
      </c>
      <c r="I256" s="185" t="s">
        <v>366</v>
      </c>
      <c r="J256" s="151"/>
      <c r="K256" s="151"/>
      <c r="L256" s="1"/>
      <c r="N256" s="37"/>
      <c r="O256" s="38"/>
      <c r="P256" s="38"/>
    </row>
    <row r="257" spans="1:16" ht="20.100000000000001" customHeight="1">
      <c r="A257" s="228"/>
      <c r="B257" s="39"/>
      <c r="C257" s="170" t="s">
        <v>198</v>
      </c>
      <c r="D257" s="264"/>
      <c r="E257" s="264"/>
      <c r="F257" s="264"/>
      <c r="G257" s="253"/>
      <c r="H257" s="193"/>
      <c r="I257" s="185"/>
      <c r="J257" s="265"/>
      <c r="K257" s="265"/>
      <c r="L257" s="1"/>
      <c r="N257" s="37"/>
      <c r="O257" s="38"/>
      <c r="P257" s="38"/>
    </row>
    <row r="258" spans="1:16" ht="20.100000000000001" customHeight="1">
      <c r="A258" s="228"/>
      <c r="B258" s="39"/>
      <c r="C258" s="170" t="s">
        <v>192</v>
      </c>
      <c r="D258" s="254">
        <v>2</v>
      </c>
      <c r="E258" s="255">
        <v>2.7</v>
      </c>
      <c r="F258" s="255">
        <v>0.8</v>
      </c>
      <c r="G258" s="256"/>
      <c r="H258" s="193">
        <f>F258*E258*D258</f>
        <v>4.32</v>
      </c>
      <c r="I258" s="185" t="s">
        <v>366</v>
      </c>
      <c r="J258" s="151"/>
      <c r="K258" s="151"/>
      <c r="L258" s="1"/>
      <c r="N258" s="37"/>
      <c r="O258" s="38"/>
      <c r="P258" s="38"/>
    </row>
    <row r="259" spans="1:16" ht="20.100000000000001" customHeight="1">
      <c r="A259" s="228"/>
      <c r="B259" s="39"/>
      <c r="C259" s="170" t="s">
        <v>194</v>
      </c>
      <c r="D259" s="254">
        <v>1</v>
      </c>
      <c r="E259" s="255">
        <v>2.7</v>
      </c>
      <c r="F259" s="255">
        <v>0.9</v>
      </c>
      <c r="G259" s="253"/>
      <c r="H259" s="193">
        <f>F259*E259*D259</f>
        <v>2.4300000000000002</v>
      </c>
      <c r="I259" s="185" t="s">
        <v>366</v>
      </c>
      <c r="J259" s="151"/>
      <c r="K259" s="151"/>
      <c r="L259" s="1"/>
      <c r="N259" s="37"/>
      <c r="O259" s="38"/>
      <c r="P259" s="38"/>
    </row>
    <row r="260" spans="1:16" ht="20.100000000000001" customHeight="1">
      <c r="A260" s="228"/>
      <c r="B260" s="39"/>
      <c r="C260" s="170" t="s">
        <v>199</v>
      </c>
      <c r="D260" s="264"/>
      <c r="E260" s="264"/>
      <c r="F260" s="264"/>
      <c r="G260" s="253"/>
      <c r="H260" s="193"/>
      <c r="I260" s="185"/>
      <c r="J260" s="265"/>
      <c r="K260" s="265"/>
      <c r="L260" s="1"/>
      <c r="N260" s="37"/>
      <c r="O260" s="38"/>
      <c r="P260" s="38"/>
    </row>
    <row r="261" spans="1:16" ht="20.100000000000001" customHeight="1">
      <c r="A261" s="228"/>
      <c r="B261" s="39"/>
      <c r="C261" s="170" t="s">
        <v>192</v>
      </c>
      <c r="D261" s="254" t="s">
        <v>165</v>
      </c>
      <c r="E261" s="255">
        <v>2.15</v>
      </c>
      <c r="F261" s="255">
        <v>0.7</v>
      </c>
      <c r="G261" s="256"/>
      <c r="H261" s="193">
        <f>F261*E261*2*4</f>
        <v>12.04</v>
      </c>
      <c r="I261" s="185" t="s">
        <v>366</v>
      </c>
      <c r="J261" s="151"/>
      <c r="K261" s="151"/>
      <c r="L261" s="1"/>
      <c r="N261" s="37"/>
      <c r="O261" s="38"/>
      <c r="P261" s="38"/>
    </row>
    <row r="262" spans="1:16" ht="20.100000000000001" customHeight="1">
      <c r="A262" s="228"/>
      <c r="B262" s="39"/>
      <c r="C262" s="170" t="s">
        <v>194</v>
      </c>
      <c r="D262" s="254">
        <v>4</v>
      </c>
      <c r="E262" s="255">
        <v>2.15</v>
      </c>
      <c r="F262" s="255">
        <v>0.7</v>
      </c>
      <c r="G262" s="253"/>
      <c r="H262" s="193">
        <f>F262*E262*D262</f>
        <v>6.02</v>
      </c>
      <c r="I262" s="185" t="s">
        <v>366</v>
      </c>
      <c r="J262" s="151"/>
      <c r="K262" s="151"/>
      <c r="L262" s="1"/>
      <c r="N262" s="37"/>
      <c r="O262" s="38"/>
      <c r="P262" s="38"/>
    </row>
    <row r="263" spans="1:16" ht="20.100000000000001" customHeight="1">
      <c r="A263" s="228"/>
      <c r="B263" s="39"/>
      <c r="C263" s="170" t="s">
        <v>200</v>
      </c>
      <c r="D263" s="254">
        <v>2</v>
      </c>
      <c r="E263" s="255">
        <v>22.85</v>
      </c>
      <c r="F263" s="255">
        <v>1</v>
      </c>
      <c r="G263" s="253"/>
      <c r="H263" s="193">
        <f>F263*E263*D263</f>
        <v>45.7</v>
      </c>
      <c r="I263" s="185" t="s">
        <v>366</v>
      </c>
      <c r="J263" s="151"/>
      <c r="K263" s="151"/>
      <c r="L263" s="1"/>
      <c r="N263" s="37"/>
      <c r="O263" s="38"/>
      <c r="P263" s="38"/>
    </row>
    <row r="264" spans="1:16" ht="20.100000000000001" customHeight="1">
      <c r="A264" s="228"/>
      <c r="B264" s="39"/>
      <c r="C264" s="170" t="s">
        <v>201</v>
      </c>
      <c r="D264" s="254">
        <v>2</v>
      </c>
      <c r="E264" s="255">
        <v>22.85</v>
      </c>
      <c r="F264" s="255">
        <v>0.3</v>
      </c>
      <c r="G264" s="253"/>
      <c r="H264" s="193">
        <f>F264*E264*D264</f>
        <v>13.71</v>
      </c>
      <c r="I264" s="185" t="s">
        <v>366</v>
      </c>
      <c r="J264" s="151"/>
      <c r="K264" s="151"/>
      <c r="L264" s="1"/>
      <c r="N264" s="37"/>
      <c r="O264" s="38"/>
      <c r="P264" s="38"/>
    </row>
    <row r="265" spans="1:16" ht="20.100000000000001" customHeight="1">
      <c r="A265" s="228"/>
      <c r="B265" s="39"/>
      <c r="C265" s="170" t="s">
        <v>202</v>
      </c>
      <c r="D265" s="254">
        <v>2</v>
      </c>
      <c r="E265" s="255">
        <v>6.25</v>
      </c>
      <c r="F265" s="255">
        <v>1</v>
      </c>
      <c r="G265" s="253"/>
      <c r="H265" s="193">
        <f>F265*E265*D265</f>
        <v>12.5</v>
      </c>
      <c r="I265" s="185" t="s">
        <v>366</v>
      </c>
      <c r="J265" s="151"/>
      <c r="K265" s="151"/>
      <c r="L265" s="1"/>
      <c r="N265" s="37"/>
      <c r="O265" s="38"/>
      <c r="P265" s="38"/>
    </row>
    <row r="266" spans="1:16" ht="20.100000000000001" customHeight="1">
      <c r="A266" s="228"/>
      <c r="B266" s="39"/>
      <c r="C266" s="170" t="s">
        <v>203</v>
      </c>
      <c r="D266" s="254">
        <v>2</v>
      </c>
      <c r="E266" s="255">
        <v>6.25</v>
      </c>
      <c r="F266" s="255">
        <v>0.3</v>
      </c>
      <c r="G266" s="253"/>
      <c r="H266" s="193">
        <f>F266*E266*D266</f>
        <v>3.75</v>
      </c>
      <c r="I266" s="185" t="s">
        <v>366</v>
      </c>
      <c r="J266" s="151"/>
      <c r="K266" s="151"/>
      <c r="L266" s="1"/>
      <c r="N266" s="37"/>
      <c r="O266" s="38"/>
      <c r="P266" s="38"/>
    </row>
    <row r="267" spans="1:16" ht="20.100000000000001" customHeight="1">
      <c r="A267" s="228"/>
      <c r="B267" s="39"/>
      <c r="C267" s="248" t="s">
        <v>167</v>
      </c>
      <c r="D267" s="34"/>
      <c r="E267" s="35"/>
      <c r="F267" s="205"/>
      <c r="G267" s="206"/>
      <c r="H267" s="189"/>
      <c r="I267" s="229"/>
      <c r="J267" s="191"/>
      <c r="K267" s="191"/>
      <c r="L267" s="1"/>
      <c r="N267" s="37"/>
      <c r="O267" s="38"/>
      <c r="P267" s="38"/>
    </row>
    <row r="268" spans="1:16" ht="20.100000000000001" customHeight="1">
      <c r="A268" s="228"/>
      <c r="B268" s="39"/>
      <c r="C268" s="170" t="s">
        <v>149</v>
      </c>
      <c r="D268" s="34"/>
      <c r="E268" s="35"/>
      <c r="F268" s="205"/>
      <c r="G268" s="206"/>
      <c r="H268" s="189"/>
      <c r="I268" s="229"/>
      <c r="J268" s="191"/>
      <c r="K268" s="191"/>
      <c r="L268" s="1"/>
      <c r="N268" s="37"/>
      <c r="O268" s="38"/>
      <c r="P268" s="38"/>
    </row>
    <row r="269" spans="1:16" ht="20.100000000000001" customHeight="1">
      <c r="A269" s="228"/>
      <c r="B269" s="39"/>
      <c r="C269" s="170" t="s">
        <v>171</v>
      </c>
      <c r="D269" s="34">
        <v>-12</v>
      </c>
      <c r="E269" s="35">
        <v>1.5</v>
      </c>
      <c r="F269" s="205">
        <v>1.2</v>
      </c>
      <c r="G269" s="206"/>
      <c r="H269" s="193">
        <f>F269*E269*D269</f>
        <v>-21.599999999999998</v>
      </c>
      <c r="I269" s="185" t="s">
        <v>366</v>
      </c>
      <c r="J269" s="151"/>
      <c r="K269" s="151"/>
      <c r="L269" s="1"/>
      <c r="N269" s="37"/>
      <c r="O269" s="38"/>
      <c r="P269" s="38"/>
    </row>
    <row r="270" spans="1:16" ht="20.100000000000001" customHeight="1">
      <c r="A270" s="228"/>
      <c r="B270" s="39"/>
      <c r="C270" s="170" t="s">
        <v>172</v>
      </c>
      <c r="D270" s="34"/>
      <c r="E270" s="35"/>
      <c r="F270" s="205"/>
      <c r="G270" s="206"/>
      <c r="H270" s="189"/>
      <c r="I270" s="229"/>
      <c r="J270" s="191"/>
      <c r="K270" s="191"/>
      <c r="L270" s="1"/>
      <c r="N270" s="37"/>
      <c r="O270" s="38"/>
      <c r="P270" s="38"/>
    </row>
    <row r="271" spans="1:16" ht="20.100000000000001" customHeight="1">
      <c r="A271" s="228"/>
      <c r="B271" s="39"/>
      <c r="C271" s="170" t="s">
        <v>173</v>
      </c>
      <c r="D271" s="34">
        <v>-12</v>
      </c>
      <c r="E271" s="35">
        <v>1</v>
      </c>
      <c r="F271" s="205">
        <v>1.2</v>
      </c>
      <c r="G271" s="206"/>
      <c r="H271" s="193">
        <f>F271*E271*D271</f>
        <v>-14.399999999999999</v>
      </c>
      <c r="I271" s="185" t="s">
        <v>366</v>
      </c>
      <c r="J271" s="151"/>
      <c r="K271" s="151"/>
      <c r="L271" s="1"/>
      <c r="N271" s="37"/>
      <c r="O271" s="38"/>
      <c r="P271" s="38"/>
    </row>
    <row r="272" spans="1:16" ht="20.100000000000001" customHeight="1">
      <c r="A272" s="228"/>
      <c r="B272" s="39"/>
      <c r="C272" s="170" t="s">
        <v>174</v>
      </c>
      <c r="D272" s="34">
        <v>-12</v>
      </c>
      <c r="E272" s="35">
        <v>0.6</v>
      </c>
      <c r="F272" s="205">
        <v>1.2</v>
      </c>
      <c r="G272" s="206"/>
      <c r="H272" s="193">
        <f>F272*E272*D272</f>
        <v>-8.64</v>
      </c>
      <c r="I272" s="185" t="s">
        <v>366</v>
      </c>
      <c r="J272" s="151"/>
      <c r="K272" s="151"/>
      <c r="L272" s="1"/>
      <c r="N272" s="37"/>
      <c r="O272" s="38"/>
      <c r="P272" s="38"/>
    </row>
    <row r="273" spans="1:16" ht="20.100000000000001" customHeight="1">
      <c r="A273" s="228"/>
      <c r="B273" s="39"/>
      <c r="C273" s="170" t="s">
        <v>204</v>
      </c>
      <c r="D273" s="34"/>
      <c r="E273" s="35"/>
      <c r="F273" s="205"/>
      <c r="G273" s="206"/>
      <c r="H273" s="189"/>
      <c r="I273" s="229"/>
      <c r="J273" s="191"/>
      <c r="K273" s="191"/>
      <c r="L273" s="1"/>
      <c r="N273" s="37"/>
      <c r="O273" s="38"/>
      <c r="P273" s="38"/>
    </row>
    <row r="274" spans="1:16" ht="20.100000000000001" customHeight="1">
      <c r="A274" s="228"/>
      <c r="B274" s="39"/>
      <c r="C274" s="170" t="s">
        <v>175</v>
      </c>
      <c r="D274" s="34">
        <f>-8*2</f>
        <v>-16</v>
      </c>
      <c r="E274" s="35">
        <v>0.6</v>
      </c>
      <c r="F274" s="205">
        <v>0.9</v>
      </c>
      <c r="G274" s="206"/>
      <c r="H274" s="193">
        <f>F274*E274*D274</f>
        <v>-8.64</v>
      </c>
      <c r="I274" s="185" t="s">
        <v>366</v>
      </c>
      <c r="J274" s="151"/>
      <c r="K274" s="151"/>
      <c r="L274" s="1"/>
      <c r="N274" s="37"/>
      <c r="O274" s="38"/>
      <c r="P274" s="38"/>
    </row>
    <row r="275" spans="1:16" ht="20.100000000000001" customHeight="1">
      <c r="A275" s="228"/>
      <c r="B275" s="39"/>
      <c r="C275" s="170" t="s">
        <v>205</v>
      </c>
      <c r="D275" s="34"/>
      <c r="E275" s="35"/>
      <c r="F275" s="205"/>
      <c r="G275" s="206"/>
      <c r="H275" s="189"/>
      <c r="I275" s="229"/>
      <c r="J275" s="191"/>
      <c r="K275" s="191"/>
      <c r="L275" s="1"/>
      <c r="N275" s="37"/>
      <c r="O275" s="38"/>
      <c r="P275" s="38"/>
    </row>
    <row r="276" spans="1:16" ht="20.100000000000001" customHeight="1">
      <c r="A276" s="228"/>
      <c r="B276" s="39"/>
      <c r="C276" s="170" t="s">
        <v>206</v>
      </c>
      <c r="D276" s="34">
        <v>-1</v>
      </c>
      <c r="E276" s="35">
        <v>1</v>
      </c>
      <c r="F276" s="205">
        <v>2.1</v>
      </c>
      <c r="G276" s="206"/>
      <c r="H276" s="193">
        <f>F276*E276*D276</f>
        <v>-2.1</v>
      </c>
      <c r="I276" s="185" t="s">
        <v>366</v>
      </c>
      <c r="J276" s="151"/>
      <c r="K276" s="151"/>
      <c r="L276" s="1"/>
      <c r="N276" s="37"/>
      <c r="O276" s="38"/>
      <c r="P276" s="38"/>
    </row>
    <row r="277" spans="1:16" ht="20.100000000000001" customHeight="1">
      <c r="A277" s="228"/>
      <c r="B277" s="39"/>
      <c r="C277" s="170" t="s">
        <v>174</v>
      </c>
      <c r="D277" s="34">
        <v>-1</v>
      </c>
      <c r="E277" s="35">
        <v>0.6</v>
      </c>
      <c r="F277" s="205">
        <v>1.2</v>
      </c>
      <c r="G277" s="206"/>
      <c r="H277" s="193">
        <f>F277*E277*D277</f>
        <v>-0.72</v>
      </c>
      <c r="I277" s="185" t="s">
        <v>366</v>
      </c>
      <c r="J277" s="151"/>
      <c r="K277" s="151"/>
      <c r="L277" s="1"/>
      <c r="N277" s="37"/>
      <c r="O277" s="38"/>
      <c r="P277" s="38"/>
    </row>
    <row r="278" spans="1:16" ht="20.100000000000001" customHeight="1">
      <c r="A278" s="228"/>
      <c r="B278" s="39"/>
      <c r="C278" s="170"/>
      <c r="D278" s="257"/>
      <c r="E278" s="257"/>
      <c r="F278" s="863" t="s">
        <v>43</v>
      </c>
      <c r="G278" s="860"/>
      <c r="H278" s="189">
        <f>SUM(H233:H277)</f>
        <v>857.12399999999991</v>
      </c>
      <c r="I278" s="229" t="s">
        <v>368</v>
      </c>
      <c r="J278" s="191"/>
      <c r="K278" s="191"/>
      <c r="L278" s="1"/>
      <c r="N278" s="37"/>
      <c r="O278" s="38"/>
      <c r="P278" s="38"/>
    </row>
    <row r="279" spans="1:16" ht="20.100000000000001" customHeight="1">
      <c r="A279" s="228"/>
      <c r="B279" s="39"/>
      <c r="C279" s="158"/>
      <c r="D279" s="851" t="s">
        <v>300</v>
      </c>
      <c r="E279" s="851"/>
      <c r="F279" s="851"/>
      <c r="G279" s="362" t="s">
        <v>10</v>
      </c>
      <c r="H279" s="237">
        <f>ROUNDUP(H278,0)</f>
        <v>858</v>
      </c>
      <c r="I279" s="237" t="s">
        <v>374</v>
      </c>
      <c r="J279" s="191"/>
      <c r="K279" s="191"/>
      <c r="L279" s="1"/>
      <c r="N279" s="37"/>
      <c r="O279" s="38"/>
      <c r="P279" s="38"/>
    </row>
    <row r="280" spans="1:16" ht="20.100000000000001" customHeight="1">
      <c r="A280" s="228"/>
      <c r="B280" s="39"/>
      <c r="C280" s="158"/>
      <c r="D280" s="851" t="s">
        <v>306</v>
      </c>
      <c r="E280" s="851"/>
      <c r="F280" s="851"/>
      <c r="G280" s="851"/>
      <c r="H280" s="237">
        <f>H230+H279</f>
        <v>1881</v>
      </c>
      <c r="I280" s="237" t="s">
        <v>368</v>
      </c>
      <c r="J280" s="191" t="s">
        <v>301</v>
      </c>
      <c r="K280" s="191"/>
      <c r="L280" s="1"/>
      <c r="N280" s="167"/>
      <c r="O280" s="162"/>
      <c r="P280" s="162"/>
    </row>
    <row r="281" spans="1:16" ht="20.100000000000001" customHeight="1">
      <c r="A281" s="228"/>
      <c r="B281" s="39"/>
      <c r="C281" s="158"/>
      <c r="D281" s="258"/>
      <c r="E281" s="258"/>
      <c r="F281" s="258"/>
      <c r="G281" s="236"/>
      <c r="H281" s="189"/>
      <c r="I281" s="229"/>
      <c r="J281" s="191"/>
      <c r="K281" s="191"/>
      <c r="L281" s="1"/>
      <c r="N281" s="167"/>
      <c r="O281" s="162"/>
      <c r="P281" s="162"/>
    </row>
    <row r="282" spans="1:16" ht="20.100000000000001" customHeight="1">
      <c r="A282" s="228"/>
      <c r="B282" s="39"/>
      <c r="C282" s="158"/>
      <c r="D282" s="859" t="s">
        <v>302</v>
      </c>
      <c r="E282" s="859"/>
      <c r="F282" s="859"/>
      <c r="G282" s="860"/>
      <c r="H282" s="189">
        <f>H103</f>
        <v>715</v>
      </c>
      <c r="I282" s="234" t="s">
        <v>368</v>
      </c>
      <c r="J282" s="191"/>
      <c r="K282" s="191"/>
      <c r="L282" s="1"/>
      <c r="N282" s="167"/>
      <c r="O282" s="162"/>
      <c r="P282" s="162"/>
    </row>
    <row r="283" spans="1:16" ht="20.100000000000001" customHeight="1">
      <c r="A283" s="228"/>
      <c r="B283" s="39"/>
      <c r="C283" s="158"/>
      <c r="D283" s="859" t="s">
        <v>303</v>
      </c>
      <c r="E283" s="859"/>
      <c r="F283" s="859"/>
      <c r="G283" s="860"/>
      <c r="H283" s="189">
        <f>H184</f>
        <v>2268</v>
      </c>
      <c r="I283" s="234" t="s">
        <v>368</v>
      </c>
      <c r="J283" s="191"/>
      <c r="K283" s="191"/>
      <c r="L283" s="1"/>
      <c r="N283" s="167"/>
      <c r="O283" s="162"/>
      <c r="P283" s="162"/>
    </row>
    <row r="284" spans="1:16" ht="20.100000000000001" customHeight="1">
      <c r="A284" s="228"/>
      <c r="B284" s="39"/>
      <c r="C284" s="158"/>
      <c r="D284" s="859" t="s">
        <v>304</v>
      </c>
      <c r="E284" s="859"/>
      <c r="F284" s="859"/>
      <c r="G284" s="860"/>
      <c r="H284" s="189">
        <f>H280</f>
        <v>1881</v>
      </c>
      <c r="I284" s="234" t="s">
        <v>368</v>
      </c>
      <c r="J284" s="191"/>
      <c r="K284" s="191"/>
      <c r="L284" s="1"/>
      <c r="N284" s="167"/>
      <c r="O284" s="162"/>
      <c r="P284" s="162"/>
    </row>
    <row r="285" spans="1:16" ht="20.100000000000001" customHeight="1">
      <c r="A285" s="228"/>
      <c r="B285" s="39"/>
      <c r="C285" s="158"/>
      <c r="D285" s="258"/>
      <c r="E285" s="258"/>
      <c r="F285" s="258"/>
      <c r="G285" s="236"/>
      <c r="H285" s="189"/>
      <c r="I285" s="229"/>
      <c r="J285" s="191"/>
      <c r="K285" s="191"/>
      <c r="L285" s="1"/>
      <c r="N285" s="167"/>
      <c r="O285" s="162"/>
      <c r="P285" s="162"/>
    </row>
    <row r="286" spans="1:16" ht="20.100000000000001" customHeight="1">
      <c r="A286" s="228"/>
      <c r="B286" s="39"/>
      <c r="C286" s="852" t="s">
        <v>305</v>
      </c>
      <c r="D286" s="853"/>
      <c r="E286" s="853"/>
      <c r="F286" s="854"/>
      <c r="G286" s="855"/>
      <c r="H286" s="189">
        <f>H282+H283+H284</f>
        <v>4864</v>
      </c>
      <c r="I286" s="234" t="s">
        <v>368</v>
      </c>
      <c r="J286" s="191"/>
      <c r="K286" s="191"/>
      <c r="L286" s="1"/>
      <c r="N286" s="37"/>
      <c r="O286" s="38"/>
      <c r="P286" s="38"/>
    </row>
    <row r="287" spans="1:16" ht="20.100000000000001" customHeight="1">
      <c r="A287" s="228"/>
      <c r="B287" s="39"/>
      <c r="C287" s="882" t="s">
        <v>280</v>
      </c>
      <c r="D287" s="883"/>
      <c r="E287" s="883"/>
      <c r="F287" s="883"/>
      <c r="G287" s="884"/>
      <c r="H287" s="189">
        <f>H286*40%</f>
        <v>1945.6000000000001</v>
      </c>
      <c r="I287" s="234" t="s">
        <v>368</v>
      </c>
      <c r="J287" s="191"/>
      <c r="K287" s="191"/>
      <c r="L287" s="1"/>
      <c r="N287" s="37"/>
      <c r="O287" s="38"/>
      <c r="P287" s="38"/>
    </row>
    <row r="288" spans="1:16" ht="20.100000000000001" customHeight="1">
      <c r="A288" s="279"/>
      <c r="B288" s="103"/>
      <c r="C288" s="847" t="s">
        <v>10</v>
      </c>
      <c r="D288" s="848"/>
      <c r="E288" s="848"/>
      <c r="F288" s="848"/>
      <c r="G288" s="849"/>
      <c r="H288" s="233">
        <f>ROUNDUP(H287,-1)</f>
        <v>1950</v>
      </c>
      <c r="I288" s="234" t="s">
        <v>368</v>
      </c>
      <c r="J288" s="359">
        <v>50</v>
      </c>
      <c r="K288" s="351">
        <f>J288*H288</f>
        <v>97500</v>
      </c>
      <c r="L288" s="1"/>
      <c r="N288" s="37"/>
      <c r="O288" s="38"/>
      <c r="P288" s="38"/>
    </row>
    <row r="289" spans="1:16" ht="20.100000000000001" customHeight="1">
      <c r="A289" s="228"/>
      <c r="B289" s="39"/>
      <c r="C289" s="222"/>
      <c r="D289" s="222"/>
      <c r="E289" s="222"/>
      <c r="F289" s="222"/>
      <c r="G289" s="248"/>
      <c r="H289" s="189"/>
      <c r="I289" s="229"/>
      <c r="J289" s="191"/>
      <c r="K289" s="151"/>
      <c r="L289" s="1"/>
      <c r="N289" s="153"/>
      <c r="O289" s="152"/>
      <c r="P289" s="152"/>
    </row>
    <row r="290" spans="1:16" ht="90.75" customHeight="1">
      <c r="A290" s="231">
        <v>5</v>
      </c>
      <c r="B290" s="915" t="s">
        <v>270</v>
      </c>
      <c r="C290" s="157" t="s">
        <v>271</v>
      </c>
      <c r="D290" s="194"/>
      <c r="E290" s="194"/>
      <c r="F290" s="194"/>
      <c r="G290" s="194"/>
      <c r="H290" s="195"/>
      <c r="I290" s="229"/>
      <c r="J290" s="191"/>
      <c r="K290" s="151"/>
      <c r="L290" s="1"/>
      <c r="N290" s="153"/>
      <c r="O290" s="152"/>
      <c r="P290" s="152"/>
    </row>
    <row r="291" spans="1:16" ht="15.75">
      <c r="A291" s="266"/>
      <c r="B291" s="915"/>
      <c r="C291" s="157" t="s">
        <v>277</v>
      </c>
      <c r="D291" s="194"/>
      <c r="E291" s="357"/>
      <c r="F291" s="267"/>
      <c r="G291" s="357"/>
      <c r="H291" s="268"/>
      <c r="I291" s="229"/>
      <c r="J291" s="191"/>
      <c r="K291" s="151"/>
      <c r="L291" s="1"/>
      <c r="N291" s="153"/>
      <c r="O291" s="152"/>
      <c r="P291" s="152"/>
    </row>
    <row r="292" spans="1:16" ht="15.75">
      <c r="A292" s="266"/>
      <c r="B292" s="915"/>
      <c r="C292" s="175" t="s">
        <v>272</v>
      </c>
      <c r="D292" s="194"/>
      <c r="E292" s="357"/>
      <c r="F292" s="267"/>
      <c r="G292" s="357"/>
      <c r="H292" s="268"/>
      <c r="I292" s="229"/>
      <c r="J292" s="191"/>
      <c r="K292" s="151"/>
      <c r="L292" s="1"/>
      <c r="N292" s="167"/>
      <c r="O292" s="162"/>
      <c r="P292" s="162"/>
    </row>
    <row r="293" spans="1:16" ht="20.100000000000001" customHeight="1">
      <c r="A293" s="266"/>
      <c r="B293" s="915"/>
      <c r="C293" s="269" t="s">
        <v>309</v>
      </c>
      <c r="D293" s="192">
        <v>8</v>
      </c>
      <c r="E293" s="35">
        <v>2.125</v>
      </c>
      <c r="F293" s="36">
        <v>0.7</v>
      </c>
      <c r="G293" s="35"/>
      <c r="H293" s="219">
        <f>D293*E293*F293</f>
        <v>11.899999999999999</v>
      </c>
      <c r="I293" s="185" t="s">
        <v>365</v>
      </c>
      <c r="J293" s="191"/>
      <c r="K293" s="151"/>
      <c r="L293" s="1"/>
      <c r="N293" s="153"/>
      <c r="O293" s="152"/>
      <c r="P293" s="152"/>
    </row>
    <row r="294" spans="1:16" ht="20.100000000000001" customHeight="1">
      <c r="A294" s="266"/>
      <c r="B294" s="915"/>
      <c r="C294" s="269" t="s">
        <v>310</v>
      </c>
      <c r="D294" s="192">
        <v>8</v>
      </c>
      <c r="E294" s="35">
        <v>1.1299999999999999</v>
      </c>
      <c r="F294" s="36">
        <v>0.7</v>
      </c>
      <c r="G294" s="35"/>
      <c r="H294" s="219">
        <f>D294*E294*F294</f>
        <v>6.3279999999999994</v>
      </c>
      <c r="I294" s="185" t="s">
        <v>365</v>
      </c>
      <c r="J294" s="191"/>
      <c r="K294" s="151"/>
      <c r="L294" s="1"/>
      <c r="N294" s="167"/>
      <c r="O294" s="162"/>
      <c r="P294" s="162"/>
    </row>
    <row r="295" spans="1:16" ht="20.100000000000001" customHeight="1">
      <c r="A295" s="266"/>
      <c r="B295" s="915"/>
      <c r="C295" s="269" t="s">
        <v>311</v>
      </c>
      <c r="D295" s="192">
        <v>16</v>
      </c>
      <c r="E295" s="35"/>
      <c r="F295" s="36">
        <v>0.7</v>
      </c>
      <c r="G295" s="35">
        <v>1</v>
      </c>
      <c r="H295" s="219">
        <f>G295*F295</f>
        <v>0.7</v>
      </c>
      <c r="I295" s="185" t="s">
        <v>365</v>
      </c>
      <c r="J295" s="191"/>
      <c r="K295" s="151"/>
      <c r="L295" s="1"/>
      <c r="N295" s="167"/>
      <c r="O295" s="162"/>
      <c r="P295" s="162"/>
    </row>
    <row r="296" spans="1:16" ht="20.100000000000001" customHeight="1">
      <c r="A296" s="266"/>
      <c r="B296" s="915"/>
      <c r="C296" s="269" t="s">
        <v>312</v>
      </c>
      <c r="D296" s="192"/>
      <c r="E296" s="35"/>
      <c r="F296" s="35">
        <v>0.7</v>
      </c>
      <c r="G296" s="35">
        <v>0.7</v>
      </c>
      <c r="H296" s="219">
        <f>G296*F296</f>
        <v>0.48999999999999994</v>
      </c>
      <c r="I296" s="185" t="s">
        <v>365</v>
      </c>
      <c r="J296" s="191"/>
      <c r="K296" s="151"/>
      <c r="L296" s="1"/>
      <c r="N296" s="167"/>
      <c r="O296" s="162"/>
      <c r="P296" s="162"/>
    </row>
    <row r="297" spans="1:16" ht="20.100000000000001" customHeight="1">
      <c r="A297" s="266"/>
      <c r="B297" s="915"/>
      <c r="C297" s="269"/>
      <c r="D297" s="192"/>
      <c r="E297" s="35"/>
      <c r="F297" s="858" t="s">
        <v>43</v>
      </c>
      <c r="G297" s="858"/>
      <c r="H297" s="237">
        <f>H293+H294+H295+H296</f>
        <v>19.417999999999996</v>
      </c>
      <c r="I297" s="237" t="s">
        <v>375</v>
      </c>
      <c r="J297" s="191"/>
      <c r="K297" s="151"/>
      <c r="L297" s="1"/>
      <c r="N297" s="167"/>
      <c r="O297" s="162"/>
      <c r="P297" s="162"/>
    </row>
    <row r="298" spans="1:16" ht="20.100000000000001" customHeight="1">
      <c r="A298" s="266"/>
      <c r="B298" s="915"/>
      <c r="C298" s="269"/>
      <c r="D298" s="192"/>
      <c r="E298" s="35"/>
      <c r="F298" s="858" t="s">
        <v>10</v>
      </c>
      <c r="G298" s="858"/>
      <c r="H298" s="237">
        <f>ROUNDUP(H297,-1)</f>
        <v>20</v>
      </c>
      <c r="I298" s="237" t="s">
        <v>376</v>
      </c>
      <c r="J298" s="191"/>
      <c r="K298" s="151"/>
      <c r="L298" s="1"/>
      <c r="N298" s="167"/>
      <c r="O298" s="162"/>
      <c r="P298" s="162"/>
    </row>
    <row r="299" spans="1:16" ht="20.100000000000001" customHeight="1">
      <c r="A299" s="266"/>
      <c r="B299" s="915"/>
      <c r="C299" s="269"/>
      <c r="D299" s="192"/>
      <c r="E299" s="35"/>
      <c r="F299" s="36"/>
      <c r="G299" s="265"/>
      <c r="H299" s="219"/>
      <c r="I299" s="185"/>
      <c r="J299" s="191"/>
      <c r="K299" s="151"/>
      <c r="L299" s="1"/>
      <c r="N299" s="167"/>
      <c r="O299" s="162"/>
      <c r="P299" s="162"/>
    </row>
    <row r="300" spans="1:16" ht="20.100000000000001" customHeight="1">
      <c r="A300" s="266"/>
      <c r="B300" s="915"/>
      <c r="C300" s="176" t="s">
        <v>273</v>
      </c>
      <c r="D300" s="192"/>
      <c r="E300" s="35"/>
      <c r="F300" s="36"/>
      <c r="G300" s="35"/>
      <c r="H300" s="219"/>
      <c r="I300" s="185"/>
      <c r="J300" s="191"/>
      <c r="K300" s="151"/>
      <c r="L300" s="1"/>
      <c r="N300" s="167"/>
      <c r="O300" s="162"/>
      <c r="P300" s="162"/>
    </row>
    <row r="301" spans="1:16" ht="20.100000000000001" customHeight="1">
      <c r="A301" s="266"/>
      <c r="B301" s="915"/>
      <c r="C301" s="269" t="s">
        <v>313</v>
      </c>
      <c r="D301" s="192">
        <v>12</v>
      </c>
      <c r="E301" s="35">
        <v>3.05</v>
      </c>
      <c r="F301" s="36">
        <v>0.7</v>
      </c>
      <c r="G301" s="35"/>
      <c r="H301" s="219">
        <f>D301*E301*F301</f>
        <v>25.619999999999994</v>
      </c>
      <c r="I301" s="185" t="s">
        <v>365</v>
      </c>
      <c r="J301" s="191"/>
      <c r="K301" s="151"/>
      <c r="L301" s="1"/>
      <c r="N301" s="153"/>
      <c r="O301" s="152"/>
      <c r="P301" s="152"/>
    </row>
    <row r="302" spans="1:16" ht="20.100000000000001" customHeight="1">
      <c r="A302" s="266"/>
      <c r="B302" s="915"/>
      <c r="C302" s="269" t="s">
        <v>310</v>
      </c>
      <c r="D302" s="192">
        <v>12</v>
      </c>
      <c r="E302" s="35">
        <v>2</v>
      </c>
      <c r="F302" s="35">
        <v>0.7</v>
      </c>
      <c r="G302" s="265"/>
      <c r="H302" s="219">
        <f>D302*E302*F302</f>
        <v>16.799999999999997</v>
      </c>
      <c r="I302" s="185" t="s">
        <v>365</v>
      </c>
      <c r="J302" s="247"/>
      <c r="K302" s="201"/>
      <c r="L302" s="1"/>
      <c r="N302" s="167"/>
      <c r="O302" s="162"/>
      <c r="P302" s="162"/>
    </row>
    <row r="303" spans="1:16" ht="20.100000000000001" customHeight="1">
      <c r="A303" s="266"/>
      <c r="B303" s="915"/>
      <c r="C303" s="269" t="s">
        <v>311</v>
      </c>
      <c r="D303" s="192">
        <v>24</v>
      </c>
      <c r="E303" s="35"/>
      <c r="F303" s="36">
        <v>0.7</v>
      </c>
      <c r="G303" s="35">
        <v>1</v>
      </c>
      <c r="H303" s="219">
        <f>G303*F303</f>
        <v>0.7</v>
      </c>
      <c r="I303" s="185" t="s">
        <v>365</v>
      </c>
      <c r="J303" s="247"/>
      <c r="K303" s="201"/>
      <c r="L303" s="1"/>
      <c r="N303" s="167"/>
      <c r="O303" s="162"/>
      <c r="P303" s="162"/>
    </row>
    <row r="304" spans="1:16" ht="20.100000000000001" customHeight="1">
      <c r="A304" s="266"/>
      <c r="B304" s="915"/>
      <c r="C304" s="269" t="s">
        <v>312</v>
      </c>
      <c r="D304" s="192">
        <v>24</v>
      </c>
      <c r="E304" s="202"/>
      <c r="F304" s="35">
        <v>0.7</v>
      </c>
      <c r="G304" s="35">
        <v>0.7</v>
      </c>
      <c r="H304" s="219">
        <f>G304*F304</f>
        <v>0.48999999999999994</v>
      </c>
      <c r="I304" s="185" t="s">
        <v>365</v>
      </c>
      <c r="J304" s="247"/>
      <c r="K304" s="201"/>
      <c r="L304" s="1"/>
      <c r="N304" s="167"/>
      <c r="O304" s="162"/>
      <c r="P304" s="162"/>
    </row>
    <row r="305" spans="1:16" ht="15.75">
      <c r="A305" s="266"/>
      <c r="B305" s="915"/>
      <c r="C305" s="366"/>
      <c r="D305" s="270"/>
      <c r="E305" s="270"/>
      <c r="F305" s="850" t="s">
        <v>43</v>
      </c>
      <c r="G305" s="916"/>
      <c r="H305" s="237">
        <f>H301+H302+H303+H304</f>
        <v>43.609999999999992</v>
      </c>
      <c r="I305" s="237" t="s">
        <v>375</v>
      </c>
      <c r="J305" s="271"/>
      <c r="K305" s="227"/>
      <c r="L305" s="1"/>
      <c r="N305" s="153"/>
      <c r="O305" s="152"/>
      <c r="P305" s="152"/>
    </row>
    <row r="306" spans="1:16" ht="15.75">
      <c r="A306" s="266"/>
      <c r="B306" s="39"/>
      <c r="C306" s="366"/>
      <c r="D306" s="270"/>
      <c r="E306" s="270"/>
      <c r="F306" s="858" t="s">
        <v>10</v>
      </c>
      <c r="G306" s="858"/>
      <c r="H306" s="237">
        <f>ROUNDUP(H305,-1)</f>
        <v>50</v>
      </c>
      <c r="I306" s="237" t="s">
        <v>377</v>
      </c>
      <c r="J306" s="271"/>
      <c r="K306" s="227"/>
      <c r="L306" s="1"/>
      <c r="N306" s="167"/>
      <c r="O306" s="162"/>
      <c r="P306" s="162"/>
    </row>
    <row r="307" spans="1:16" ht="15.75">
      <c r="A307" s="266"/>
      <c r="B307" s="39"/>
      <c r="C307" s="366"/>
      <c r="D307" s="270"/>
      <c r="E307" s="270"/>
      <c r="F307" s="272"/>
      <c r="G307" s="273"/>
      <c r="H307" s="193"/>
      <c r="I307" s="229"/>
      <c r="J307" s="271"/>
      <c r="K307" s="227"/>
      <c r="L307" s="1"/>
      <c r="N307" s="167"/>
      <c r="O307" s="162"/>
      <c r="P307" s="162"/>
    </row>
    <row r="308" spans="1:16" ht="20.100000000000001" customHeight="1">
      <c r="A308" s="266"/>
      <c r="B308" s="356"/>
      <c r="D308" s="872" t="s">
        <v>314</v>
      </c>
      <c r="E308" s="872"/>
      <c r="F308" s="872"/>
      <c r="G308" s="872"/>
      <c r="H308" s="237">
        <f>H298+H306</f>
        <v>70</v>
      </c>
      <c r="I308" s="237" t="s">
        <v>368</v>
      </c>
      <c r="J308" s="271"/>
      <c r="K308" s="227"/>
      <c r="L308" s="1"/>
      <c r="N308" s="153"/>
      <c r="O308" s="152"/>
      <c r="P308" s="152"/>
    </row>
    <row r="309" spans="1:16" ht="20.100000000000001" customHeight="1">
      <c r="A309" s="279"/>
      <c r="B309" s="103"/>
      <c r="C309" s="367"/>
      <c r="D309" s="368"/>
      <c r="E309" s="368"/>
      <c r="F309" s="864" t="s">
        <v>10</v>
      </c>
      <c r="G309" s="865"/>
      <c r="H309" s="237">
        <f>H308</f>
        <v>70</v>
      </c>
      <c r="I309" s="234" t="s">
        <v>368</v>
      </c>
      <c r="J309" s="359">
        <v>50</v>
      </c>
      <c r="K309" s="351">
        <f>J309*H309</f>
        <v>3500</v>
      </c>
      <c r="L309" s="1"/>
      <c r="N309" s="153"/>
      <c r="O309" s="152"/>
      <c r="P309" s="152"/>
    </row>
    <row r="310" spans="1:16" ht="20.100000000000001" customHeight="1">
      <c r="A310" s="228"/>
      <c r="B310" s="39"/>
      <c r="C310" s="248"/>
      <c r="D310" s="224"/>
      <c r="E310" s="224"/>
      <c r="F310" s="198"/>
      <c r="G310" s="225"/>
      <c r="H310" s="189"/>
      <c r="I310" s="229"/>
      <c r="J310" s="191"/>
      <c r="K310" s="151"/>
      <c r="L310" s="1"/>
      <c r="N310" s="167"/>
      <c r="O310" s="162"/>
      <c r="P310" s="162"/>
    </row>
    <row r="311" spans="1:16" ht="143.25" customHeight="1">
      <c r="A311" s="231">
        <v>6</v>
      </c>
      <c r="B311" s="39" t="s">
        <v>275</v>
      </c>
      <c r="C311" s="31" t="s">
        <v>274</v>
      </c>
      <c r="D311" s="248"/>
      <c r="E311" s="248"/>
      <c r="F311" s="248"/>
      <c r="G311" s="274"/>
      <c r="H311" s="189"/>
      <c r="I311" s="229"/>
      <c r="J311" s="191"/>
      <c r="K311" s="151"/>
      <c r="L311" s="1"/>
      <c r="N311" s="153"/>
      <c r="O311" s="152"/>
      <c r="P311" s="152"/>
    </row>
    <row r="312" spans="1:16" ht="20.100000000000001" customHeight="1">
      <c r="A312" s="266"/>
      <c r="B312" s="39"/>
      <c r="C312" s="159" t="s">
        <v>387</v>
      </c>
      <c r="D312" s="192">
        <v>8</v>
      </c>
      <c r="E312" s="35">
        <v>2.125</v>
      </c>
      <c r="F312" s="36">
        <v>0.7</v>
      </c>
      <c r="G312" s="35"/>
      <c r="H312" s="219">
        <f>D312*E312*F312</f>
        <v>11.899999999999999</v>
      </c>
      <c r="I312" s="185" t="s">
        <v>365</v>
      </c>
      <c r="J312" s="191"/>
      <c r="K312" s="151"/>
      <c r="L312" s="1"/>
      <c r="N312" s="153"/>
      <c r="O312" s="152"/>
      <c r="P312" s="152"/>
    </row>
    <row r="313" spans="1:16" ht="20.100000000000001" customHeight="1">
      <c r="A313" s="266"/>
      <c r="B313" s="39"/>
      <c r="C313" s="159" t="s">
        <v>273</v>
      </c>
      <c r="D313" s="192">
        <v>12</v>
      </c>
      <c r="E313" s="35">
        <v>3.05</v>
      </c>
      <c r="F313" s="36">
        <v>0.7</v>
      </c>
      <c r="G313" s="35"/>
      <c r="H313" s="219">
        <f>D313*E313*F313</f>
        <v>25.619999999999994</v>
      </c>
      <c r="I313" s="185" t="s">
        <v>365</v>
      </c>
      <c r="J313" s="191"/>
      <c r="K313" s="151"/>
      <c r="L313" s="1"/>
      <c r="N313" s="153"/>
      <c r="O313" s="152"/>
      <c r="P313" s="152"/>
    </row>
    <row r="314" spans="1:16" ht="20.100000000000001" customHeight="1">
      <c r="A314" s="266"/>
      <c r="B314" s="39"/>
      <c r="C314" s="160"/>
      <c r="D314" s="220"/>
      <c r="E314" s="220"/>
      <c r="F314" s="850" t="s">
        <v>43</v>
      </c>
      <c r="G314" s="917"/>
      <c r="H314" s="237">
        <f>H312+H313</f>
        <v>37.519999999999996</v>
      </c>
      <c r="I314" s="237" t="s">
        <v>375</v>
      </c>
      <c r="J314" s="370"/>
      <c r="K314" s="230"/>
      <c r="L314" s="1"/>
      <c r="N314" s="153"/>
      <c r="O314" s="152"/>
      <c r="P314" s="152"/>
    </row>
    <row r="315" spans="1:16" ht="20.100000000000001" customHeight="1">
      <c r="A315" s="334"/>
      <c r="B315" s="103"/>
      <c r="C315" s="369"/>
      <c r="D315" s="369"/>
      <c r="E315" s="369"/>
      <c r="F315" s="873" t="s">
        <v>10</v>
      </c>
      <c r="G315" s="874"/>
      <c r="H315" s="237">
        <f>ROUNDUP(H314,0)</f>
        <v>38</v>
      </c>
      <c r="I315" s="237" t="s">
        <v>368</v>
      </c>
      <c r="J315" s="359">
        <v>2460</v>
      </c>
      <c r="K315" s="351">
        <f>J315*H315</f>
        <v>93480</v>
      </c>
      <c r="L315" s="1"/>
      <c r="N315" s="153"/>
      <c r="O315" s="152"/>
      <c r="P315" s="152"/>
    </row>
    <row r="316" spans="1:16" ht="20.100000000000001" customHeight="1">
      <c r="A316" s="228"/>
      <c r="B316" s="39"/>
      <c r="C316" s="248"/>
      <c r="D316" s="248"/>
      <c r="E316" s="248"/>
      <c r="F316" s="248"/>
      <c r="G316" s="274"/>
      <c r="H316" s="189"/>
      <c r="I316" s="229"/>
      <c r="J316" s="191"/>
      <c r="K316" s="151"/>
      <c r="L316" s="1"/>
      <c r="N316" s="153"/>
      <c r="O316" s="152"/>
      <c r="P316" s="152"/>
    </row>
    <row r="317" spans="1:16" ht="124.5" customHeight="1">
      <c r="A317" s="231">
        <v>7</v>
      </c>
      <c r="B317" s="39" t="s">
        <v>51</v>
      </c>
      <c r="C317" s="24" t="s">
        <v>378</v>
      </c>
      <c r="D317" s="34"/>
      <c r="E317" s="35"/>
      <c r="F317" s="36"/>
      <c r="G317" s="188"/>
      <c r="H317" s="189"/>
      <c r="I317" s="229"/>
      <c r="J317" s="191"/>
      <c r="K317" s="191"/>
      <c r="L317" s="1"/>
      <c r="N317" s="37"/>
      <c r="O317" s="38"/>
      <c r="P317" s="38"/>
    </row>
    <row r="318" spans="1:16" ht="20.100000000000001" customHeight="1">
      <c r="A318" s="228"/>
      <c r="B318" s="39"/>
      <c r="C318" s="906" t="s">
        <v>132</v>
      </c>
      <c r="D318" s="34">
        <v>2</v>
      </c>
      <c r="E318" s="35">
        <v>18</v>
      </c>
      <c r="F318" s="36">
        <v>1.5</v>
      </c>
      <c r="G318" s="35">
        <v>0.1</v>
      </c>
      <c r="H318" s="193">
        <f>D318*E318*F318*G318</f>
        <v>5.4</v>
      </c>
      <c r="I318" s="185" t="s">
        <v>365</v>
      </c>
      <c r="J318" s="227"/>
      <c r="K318" s="151"/>
      <c r="L318" s="1"/>
      <c r="N318" s="37"/>
      <c r="O318" s="38"/>
      <c r="P318" s="38"/>
    </row>
    <row r="319" spans="1:16" ht="20.100000000000001" customHeight="1">
      <c r="A319" s="228"/>
      <c r="B319" s="39"/>
      <c r="C319" s="906"/>
      <c r="D319" s="34">
        <v>2</v>
      </c>
      <c r="E319" s="35">
        <v>9.6999999999999993</v>
      </c>
      <c r="F319" s="36">
        <v>1.5</v>
      </c>
      <c r="G319" s="35">
        <v>0.1</v>
      </c>
      <c r="H319" s="193">
        <f>D319*E319*F319*G319</f>
        <v>2.91</v>
      </c>
      <c r="I319" s="185" t="s">
        <v>365</v>
      </c>
      <c r="J319" s="151"/>
      <c r="K319" s="151"/>
      <c r="L319" s="1"/>
      <c r="N319" s="37"/>
      <c r="O319" s="38"/>
      <c r="P319" s="38"/>
    </row>
    <row r="320" spans="1:16" ht="20.100000000000001" customHeight="1">
      <c r="A320" s="228"/>
      <c r="B320" s="39"/>
      <c r="C320" s="25" t="s">
        <v>129</v>
      </c>
      <c r="D320" s="34" t="s">
        <v>128</v>
      </c>
      <c r="E320" s="35">
        <v>21.5</v>
      </c>
      <c r="F320" s="36">
        <v>1.5</v>
      </c>
      <c r="G320" s="35">
        <v>0.1</v>
      </c>
      <c r="H320" s="193">
        <f>3*2*E320*F320*G320</f>
        <v>19.350000000000001</v>
      </c>
      <c r="I320" s="185" t="s">
        <v>365</v>
      </c>
      <c r="J320" s="151"/>
      <c r="K320" s="151"/>
      <c r="L320" s="1"/>
      <c r="N320" s="37"/>
      <c r="O320" s="38"/>
      <c r="P320" s="38"/>
    </row>
    <row r="321" spans="1:16" ht="20.100000000000001" customHeight="1">
      <c r="A321" s="228"/>
      <c r="B321" s="39"/>
      <c r="C321" s="25" t="s">
        <v>130</v>
      </c>
      <c r="D321" s="34" t="s">
        <v>128</v>
      </c>
      <c r="E321" s="35">
        <v>13.5</v>
      </c>
      <c r="F321" s="36">
        <v>1.5</v>
      </c>
      <c r="G321" s="35">
        <v>0.1</v>
      </c>
      <c r="H321" s="193">
        <f>3*2*E321*F321*G321</f>
        <v>12.15</v>
      </c>
      <c r="I321" s="185" t="s">
        <v>365</v>
      </c>
      <c r="J321" s="151"/>
      <c r="K321" s="151"/>
      <c r="L321" s="1"/>
      <c r="N321" s="37"/>
      <c r="O321" s="38"/>
      <c r="P321" s="38"/>
    </row>
    <row r="322" spans="1:16" ht="20.100000000000001" customHeight="1">
      <c r="A322" s="228"/>
      <c r="B322" s="39"/>
      <c r="C322" s="906" t="s">
        <v>133</v>
      </c>
      <c r="D322" s="34">
        <v>1</v>
      </c>
      <c r="E322" s="35">
        <v>5</v>
      </c>
      <c r="F322" s="36">
        <v>1.5</v>
      </c>
      <c r="G322" s="35">
        <v>0.1</v>
      </c>
      <c r="H322" s="193">
        <f>D322*E322*F322*G322</f>
        <v>0.75</v>
      </c>
      <c r="I322" s="185" t="s">
        <v>365</v>
      </c>
      <c r="J322" s="151"/>
      <c r="K322" s="151"/>
      <c r="L322" s="1"/>
      <c r="N322" s="37"/>
      <c r="O322" s="38"/>
      <c r="P322" s="38"/>
    </row>
    <row r="323" spans="1:16" ht="20.100000000000001" customHeight="1">
      <c r="A323" s="228"/>
      <c r="B323" s="39"/>
      <c r="C323" s="906"/>
      <c r="D323" s="34">
        <v>2</v>
      </c>
      <c r="E323" s="35">
        <v>3</v>
      </c>
      <c r="F323" s="36">
        <v>1.5</v>
      </c>
      <c r="G323" s="35">
        <v>0.1</v>
      </c>
      <c r="H323" s="210">
        <f>D323*E323*F323*G323</f>
        <v>0.9</v>
      </c>
      <c r="I323" s="275" t="s">
        <v>365</v>
      </c>
      <c r="J323" s="151"/>
      <c r="K323" s="151"/>
      <c r="L323" s="1"/>
      <c r="N323" s="37"/>
      <c r="O323" s="38"/>
      <c r="P323" s="38"/>
    </row>
    <row r="324" spans="1:16" ht="20.100000000000001" customHeight="1">
      <c r="A324" s="228"/>
      <c r="B324" s="39"/>
      <c r="C324" s="163" t="s">
        <v>127</v>
      </c>
      <c r="D324" s="34">
        <v>1</v>
      </c>
      <c r="E324" s="35">
        <v>20</v>
      </c>
      <c r="F324" s="36">
        <v>7</v>
      </c>
      <c r="G324" s="35">
        <v>0.15</v>
      </c>
      <c r="H324" s="210">
        <f>D324*E324*F324*G324</f>
        <v>21</v>
      </c>
      <c r="I324" s="275" t="s">
        <v>365</v>
      </c>
      <c r="J324" s="151"/>
      <c r="K324" s="151"/>
      <c r="L324" s="64"/>
      <c r="N324" s="37"/>
      <c r="O324" s="38"/>
      <c r="P324" s="38"/>
    </row>
    <row r="325" spans="1:16" ht="20.100000000000001" customHeight="1">
      <c r="A325" s="228"/>
      <c r="B325" s="39"/>
      <c r="C325" s="30"/>
      <c r="D325" s="34"/>
      <c r="E325" s="35"/>
      <c r="F325" s="850" t="s">
        <v>43</v>
      </c>
      <c r="G325" s="916"/>
      <c r="H325" s="189">
        <f>SUM(H318:H324)</f>
        <v>62.46</v>
      </c>
      <c r="I325" s="229" t="s">
        <v>375</v>
      </c>
      <c r="J325" s="191"/>
      <c r="K325" s="191"/>
      <c r="L325" s="1"/>
      <c r="N325" s="37"/>
      <c r="O325" s="38"/>
      <c r="P325" s="38"/>
    </row>
    <row r="326" spans="1:16" ht="20.100000000000001" customHeight="1">
      <c r="A326" s="228"/>
      <c r="B326" s="39"/>
      <c r="C326" s="919" t="s">
        <v>315</v>
      </c>
      <c r="D326" s="920"/>
      <c r="E326" s="920"/>
      <c r="F326" s="920"/>
      <c r="G326" s="855"/>
      <c r="H326" s="189">
        <f>H325*10%</f>
        <v>6.2460000000000004</v>
      </c>
      <c r="I326" s="229" t="s">
        <v>375</v>
      </c>
      <c r="J326" s="276"/>
      <c r="K326" s="191"/>
      <c r="L326" s="1"/>
      <c r="N326" s="37"/>
      <c r="O326" s="38"/>
      <c r="P326" s="38"/>
    </row>
    <row r="327" spans="1:16" ht="20.100000000000001" customHeight="1">
      <c r="A327" s="228"/>
      <c r="B327" s="39"/>
      <c r="C327" s="33"/>
      <c r="D327" s="34"/>
      <c r="E327" s="35"/>
      <c r="F327" s="858" t="s">
        <v>44</v>
      </c>
      <c r="G327" s="858"/>
      <c r="H327" s="189">
        <f>SUM(H325:H326)</f>
        <v>68.706000000000003</v>
      </c>
      <c r="I327" s="229" t="s">
        <v>375</v>
      </c>
      <c r="J327" s="191"/>
      <c r="K327" s="191"/>
      <c r="L327" s="1"/>
      <c r="N327" s="37"/>
      <c r="O327" s="38"/>
      <c r="P327" s="38"/>
    </row>
    <row r="328" spans="1:16" ht="20.100000000000001" customHeight="1">
      <c r="A328" s="279"/>
      <c r="B328" s="103"/>
      <c r="C328" s="371"/>
      <c r="D328" s="299"/>
      <c r="E328" s="295"/>
      <c r="F328" s="327"/>
      <c r="G328" s="301" t="s">
        <v>10</v>
      </c>
      <c r="H328" s="233">
        <f>ROUNDUP(H327,0)</f>
        <v>69</v>
      </c>
      <c r="I328" s="234" t="s">
        <v>375</v>
      </c>
      <c r="J328" s="282">
        <v>5985</v>
      </c>
      <c r="K328" s="351">
        <f>J328*H328</f>
        <v>412965</v>
      </c>
      <c r="L328" s="1"/>
      <c r="N328" s="37"/>
      <c r="O328" s="38"/>
      <c r="P328" s="38"/>
    </row>
    <row r="329" spans="1:16" ht="20.100000000000001" customHeight="1">
      <c r="A329" s="228"/>
      <c r="B329" s="39"/>
      <c r="C329" s="33"/>
      <c r="D329" s="34"/>
      <c r="E329" s="36"/>
      <c r="F329" s="36"/>
      <c r="G329" s="225"/>
      <c r="H329" s="189"/>
      <c r="I329" s="229"/>
      <c r="J329" s="276"/>
      <c r="K329" s="151"/>
      <c r="L329" s="1"/>
      <c r="N329" s="167"/>
      <c r="O329" s="162"/>
      <c r="P329" s="162"/>
    </row>
    <row r="330" spans="1:16" ht="133.5" customHeight="1">
      <c r="A330" s="231">
        <v>8</v>
      </c>
      <c r="B330" s="39" t="s">
        <v>145</v>
      </c>
      <c r="C330" s="277" t="s">
        <v>379</v>
      </c>
      <c r="D330" s="866"/>
      <c r="E330" s="921"/>
      <c r="F330" s="921"/>
      <c r="G330" s="921"/>
      <c r="H330" s="229"/>
      <c r="I330" s="229"/>
      <c r="J330" s="276"/>
      <c r="K330" s="276"/>
      <c r="L330" s="1"/>
      <c r="N330" s="37"/>
      <c r="O330" s="38"/>
      <c r="P330" s="38"/>
    </row>
    <row r="331" spans="1:16" ht="21" customHeight="1">
      <c r="A331" s="228"/>
      <c r="B331" s="39"/>
      <c r="C331" s="31" t="s">
        <v>316</v>
      </c>
      <c r="D331" s="866" t="s">
        <v>318</v>
      </c>
      <c r="E331" s="867"/>
      <c r="F331" s="867"/>
      <c r="G331" s="868"/>
      <c r="H331" s="189">
        <f>H103*40/100</f>
        <v>286</v>
      </c>
      <c r="I331" s="229" t="s">
        <v>367</v>
      </c>
      <c r="J331" s="191">
        <v>170</v>
      </c>
      <c r="K331" s="151">
        <f>J331*H331</f>
        <v>48620</v>
      </c>
      <c r="L331" s="1"/>
      <c r="N331" s="167"/>
      <c r="O331" s="162"/>
      <c r="P331" s="162"/>
    </row>
    <row r="332" spans="1:16" ht="20.100000000000001" customHeight="1">
      <c r="A332" s="228"/>
      <c r="B332" s="39"/>
      <c r="C332" s="30" t="s">
        <v>317</v>
      </c>
      <c r="D332" s="866"/>
      <c r="E332" s="867"/>
      <c r="F332" s="867"/>
      <c r="G332" s="868"/>
      <c r="H332" s="195"/>
      <c r="I332" s="278"/>
      <c r="J332" s="271"/>
      <c r="K332" s="227"/>
      <c r="L332" s="64"/>
      <c r="N332" s="37"/>
      <c r="O332" s="38"/>
      <c r="P332" s="38"/>
    </row>
    <row r="333" spans="1:16" ht="20.100000000000001" customHeight="1">
      <c r="A333" s="228"/>
      <c r="B333" s="39"/>
      <c r="C333" s="30"/>
      <c r="D333" s="34"/>
      <c r="E333" s="36"/>
      <c r="F333" s="36"/>
      <c r="G333" s="225"/>
      <c r="H333" s="189"/>
      <c r="I333" s="229"/>
      <c r="J333" s="247"/>
      <c r="K333" s="191"/>
      <c r="L333" s="64"/>
      <c r="N333" s="167"/>
      <c r="O333" s="162"/>
      <c r="P333" s="162"/>
    </row>
    <row r="334" spans="1:16" ht="20.100000000000001" customHeight="1">
      <c r="A334" s="228"/>
      <c r="B334" s="39"/>
      <c r="C334" s="30" t="s">
        <v>319</v>
      </c>
      <c r="D334" s="866" t="s">
        <v>320</v>
      </c>
      <c r="E334" s="867"/>
      <c r="F334" s="867"/>
      <c r="G334" s="868"/>
      <c r="H334" s="189">
        <f>H283*40/100</f>
        <v>907.2</v>
      </c>
      <c r="I334" s="229" t="s">
        <v>367</v>
      </c>
      <c r="J334" s="191">
        <v>225</v>
      </c>
      <c r="K334" s="151">
        <f>J334*H334</f>
        <v>204120</v>
      </c>
      <c r="L334" s="64"/>
      <c r="N334" s="167"/>
      <c r="O334" s="162"/>
      <c r="P334" s="162"/>
    </row>
    <row r="335" spans="1:16" ht="20.100000000000001" customHeight="1">
      <c r="A335" s="228"/>
      <c r="B335" s="39"/>
      <c r="C335" s="30" t="s">
        <v>317</v>
      </c>
      <c r="D335" s="866"/>
      <c r="E335" s="867"/>
      <c r="F335" s="867"/>
      <c r="G335" s="868"/>
      <c r="H335" s="189"/>
      <c r="I335" s="229"/>
      <c r="J335" s="247"/>
      <c r="K335" s="191"/>
      <c r="L335" s="64"/>
      <c r="N335" s="167"/>
      <c r="O335" s="162"/>
      <c r="P335" s="162"/>
    </row>
    <row r="336" spans="1:16" ht="20.100000000000001" customHeight="1">
      <c r="A336" s="228"/>
      <c r="B336" s="39"/>
      <c r="C336" s="30"/>
      <c r="D336" s="34"/>
      <c r="E336" s="36"/>
      <c r="F336" s="36"/>
      <c r="G336" s="225"/>
      <c r="H336" s="189"/>
      <c r="I336" s="229"/>
      <c r="J336" s="247"/>
      <c r="K336" s="191"/>
      <c r="L336" s="64"/>
      <c r="N336" s="167"/>
      <c r="O336" s="162"/>
      <c r="P336" s="162"/>
    </row>
    <row r="337" spans="1:16" ht="20.100000000000001" customHeight="1">
      <c r="A337" s="228"/>
      <c r="B337" s="39"/>
      <c r="C337" s="30" t="s">
        <v>322</v>
      </c>
      <c r="D337" s="866" t="s">
        <v>323</v>
      </c>
      <c r="E337" s="867"/>
      <c r="F337" s="867"/>
      <c r="G337" s="868"/>
      <c r="H337" s="189">
        <f>H284*40/100</f>
        <v>752.4</v>
      </c>
      <c r="I337" s="229" t="s">
        <v>367</v>
      </c>
      <c r="J337" s="247">
        <v>330</v>
      </c>
      <c r="K337" s="151">
        <f>J337*H337</f>
        <v>248292</v>
      </c>
      <c r="L337" s="64"/>
      <c r="N337" s="167"/>
      <c r="O337" s="162"/>
      <c r="P337" s="162"/>
    </row>
    <row r="338" spans="1:16" ht="20.100000000000001" customHeight="1">
      <c r="A338" s="228"/>
      <c r="B338" s="39"/>
      <c r="C338" s="30" t="s">
        <v>317</v>
      </c>
      <c r="D338" s="866"/>
      <c r="E338" s="867"/>
      <c r="F338" s="867"/>
      <c r="G338" s="868"/>
      <c r="H338" s="229"/>
      <c r="I338" s="245"/>
      <c r="J338" s="247"/>
      <c r="K338" s="191"/>
      <c r="L338" s="64"/>
      <c r="N338" s="167"/>
      <c r="O338" s="162"/>
      <c r="P338" s="162"/>
    </row>
    <row r="339" spans="1:16" ht="17.25" customHeight="1">
      <c r="A339" s="279"/>
      <c r="B339" s="103"/>
      <c r="C339" s="280" t="s">
        <v>321</v>
      </c>
      <c r="D339" s="923"/>
      <c r="E339" s="924"/>
      <c r="F339" s="924"/>
      <c r="G339" s="925"/>
      <c r="H339" s="233"/>
      <c r="I339" s="234"/>
      <c r="J339" s="281"/>
      <c r="K339" s="282"/>
      <c r="L339" s="1"/>
      <c r="N339" s="37"/>
      <c r="O339" s="38"/>
      <c r="P339" s="38"/>
    </row>
    <row r="340" spans="1:16" ht="162" customHeight="1">
      <c r="A340" s="231">
        <v>9</v>
      </c>
      <c r="B340" s="39" t="s">
        <v>11</v>
      </c>
      <c r="C340" s="24" t="s">
        <v>380</v>
      </c>
      <c r="D340" s="879" t="s">
        <v>264</v>
      </c>
      <c r="E340" s="880"/>
      <c r="F340" s="880"/>
      <c r="G340" s="881"/>
      <c r="H340" s="189">
        <v>380.6</v>
      </c>
      <c r="I340" s="229" t="s">
        <v>367</v>
      </c>
      <c r="J340" s="276"/>
      <c r="K340" s="276"/>
      <c r="L340" s="1"/>
      <c r="N340" s="37"/>
      <c r="O340" s="38"/>
      <c r="P340" s="38"/>
    </row>
    <row r="341" spans="1:16" ht="20.100000000000001" customHeight="1">
      <c r="A341" s="228"/>
      <c r="B341" s="39"/>
      <c r="C341" s="29"/>
      <c r="D341" s="34"/>
      <c r="E341" s="35"/>
      <c r="F341" s="36"/>
      <c r="G341" s="283"/>
      <c r="H341" s="189"/>
      <c r="I341" s="229"/>
      <c r="J341" s="276"/>
      <c r="K341" s="276"/>
      <c r="L341" s="1"/>
      <c r="N341" s="37"/>
      <c r="O341" s="38"/>
      <c r="P341" s="38"/>
    </row>
    <row r="342" spans="1:16" ht="20.100000000000001" customHeight="1">
      <c r="A342" s="228"/>
      <c r="B342" s="39"/>
      <c r="C342" s="29"/>
      <c r="D342" s="284"/>
      <c r="E342" s="35"/>
      <c r="F342" s="35"/>
      <c r="G342" s="283"/>
      <c r="H342" s="189"/>
      <c r="I342" s="229"/>
      <c r="J342" s="276"/>
      <c r="K342" s="276"/>
      <c r="L342" s="1"/>
      <c r="N342" s="167"/>
      <c r="O342" s="162"/>
      <c r="P342" s="162"/>
    </row>
    <row r="343" spans="1:16" ht="20.100000000000001" customHeight="1">
      <c r="A343" s="228"/>
      <c r="B343" s="39"/>
      <c r="C343" s="25" t="s">
        <v>265</v>
      </c>
      <c r="D343" s="34">
        <v>2</v>
      </c>
      <c r="E343" s="35">
        <v>21</v>
      </c>
      <c r="F343" s="36"/>
      <c r="G343" s="35">
        <v>0.9</v>
      </c>
      <c r="H343" s="193">
        <f>E343*G343*4*9</f>
        <v>680.40000000000009</v>
      </c>
      <c r="I343" s="185" t="s">
        <v>366</v>
      </c>
      <c r="J343" s="285"/>
      <c r="K343" s="285"/>
      <c r="L343" s="1"/>
      <c r="N343" s="37"/>
      <c r="O343" s="38"/>
      <c r="P343" s="38"/>
    </row>
    <row r="344" spans="1:16" ht="20.100000000000001" customHeight="1">
      <c r="A344" s="228"/>
      <c r="B344" s="39"/>
      <c r="C344" s="25" t="s">
        <v>12</v>
      </c>
      <c r="D344" s="34">
        <v>2</v>
      </c>
      <c r="E344" s="35">
        <v>7.5</v>
      </c>
      <c r="F344" s="13"/>
      <c r="G344" s="35">
        <v>0.9</v>
      </c>
      <c r="H344" s="193">
        <f>D344*E344*G344</f>
        <v>13.5</v>
      </c>
      <c r="I344" s="185" t="s">
        <v>366</v>
      </c>
      <c r="J344" s="285"/>
      <c r="K344" s="285"/>
      <c r="L344" s="1"/>
      <c r="N344" s="37"/>
      <c r="O344" s="38"/>
      <c r="P344" s="38"/>
    </row>
    <row r="345" spans="1:16" ht="20.100000000000001" customHeight="1">
      <c r="A345" s="228"/>
      <c r="B345" s="39"/>
      <c r="C345" s="25" t="s">
        <v>265</v>
      </c>
      <c r="D345" s="34">
        <v>2</v>
      </c>
      <c r="E345" s="35">
        <v>16</v>
      </c>
      <c r="F345" s="36"/>
      <c r="G345" s="35">
        <v>0.9</v>
      </c>
      <c r="H345" s="193">
        <f>E345*G345*4*9</f>
        <v>518.4</v>
      </c>
      <c r="I345" s="185" t="s">
        <v>366</v>
      </c>
      <c r="J345" s="285"/>
      <c r="K345" s="285"/>
      <c r="L345" s="1"/>
      <c r="N345" s="153"/>
      <c r="O345" s="152"/>
      <c r="P345" s="152"/>
    </row>
    <row r="346" spans="1:16" ht="20.100000000000001" customHeight="1">
      <c r="A346" s="228"/>
      <c r="B346" s="39"/>
      <c r="C346" s="25" t="s">
        <v>12</v>
      </c>
      <c r="D346" s="34">
        <v>2</v>
      </c>
      <c r="E346" s="35">
        <v>15.5</v>
      </c>
      <c r="F346" s="312"/>
      <c r="G346" s="295">
        <v>0.9</v>
      </c>
      <c r="H346" s="296">
        <f>D346*E346*G346</f>
        <v>27.900000000000002</v>
      </c>
      <c r="I346" s="185" t="s">
        <v>366</v>
      </c>
      <c r="J346" s="285"/>
      <c r="K346" s="285"/>
      <c r="L346" s="1"/>
      <c r="N346" s="153"/>
      <c r="O346" s="152"/>
      <c r="P346" s="152"/>
    </row>
    <row r="347" spans="1:16" ht="20.100000000000001" customHeight="1">
      <c r="A347" s="228"/>
      <c r="B347" s="39"/>
      <c r="C347" s="24"/>
      <c r="D347" s="375"/>
      <c r="E347" s="256"/>
      <c r="F347" s="878" t="s">
        <v>44</v>
      </c>
      <c r="G347" s="865"/>
      <c r="H347" s="241">
        <f>SUM(H340:H346)</f>
        <v>1620.8000000000002</v>
      </c>
      <c r="I347" s="229" t="s">
        <v>367</v>
      </c>
      <c r="J347" s="276"/>
      <c r="K347" s="276"/>
      <c r="L347" s="1"/>
      <c r="N347" s="37"/>
      <c r="O347" s="38"/>
      <c r="P347" s="38"/>
    </row>
    <row r="348" spans="1:16" ht="20.100000000000001" customHeight="1">
      <c r="A348" s="279"/>
      <c r="B348" s="103"/>
      <c r="C348" s="178"/>
      <c r="D348" s="376"/>
      <c r="E348" s="377"/>
      <c r="F348" s="372"/>
      <c r="G348" s="301" t="s">
        <v>10</v>
      </c>
      <c r="H348" s="233">
        <f>ROUNDUP(H347,0)</f>
        <v>1621</v>
      </c>
      <c r="I348" s="234" t="s">
        <v>367</v>
      </c>
      <c r="J348" s="359">
        <v>305</v>
      </c>
      <c r="K348" s="351">
        <f>J348*H348</f>
        <v>494405</v>
      </c>
      <c r="L348" s="1"/>
      <c r="N348" s="167"/>
      <c r="O348" s="162"/>
      <c r="P348" s="162"/>
    </row>
    <row r="349" spans="1:16" ht="20.100000000000001" customHeight="1">
      <c r="A349" s="228"/>
      <c r="B349" s="39"/>
      <c r="C349" s="24"/>
      <c r="D349" s="286"/>
      <c r="E349" s="287"/>
      <c r="F349" s="287"/>
      <c r="G349" s="198"/>
      <c r="H349" s="189"/>
      <c r="I349" s="189"/>
      <c r="J349" s="199"/>
      <c r="K349" s="201"/>
      <c r="L349" s="1"/>
      <c r="N349" s="167"/>
      <c r="O349" s="162"/>
      <c r="P349" s="162"/>
    </row>
    <row r="350" spans="1:16" ht="75">
      <c r="A350" s="279"/>
      <c r="B350" s="103" t="s">
        <v>326</v>
      </c>
      <c r="C350" s="326" t="s">
        <v>327</v>
      </c>
      <c r="D350" s="869" t="s">
        <v>328</v>
      </c>
      <c r="E350" s="870"/>
      <c r="F350" s="870"/>
      <c r="G350" s="871"/>
      <c r="H350" s="233">
        <f>H282</f>
        <v>715</v>
      </c>
      <c r="I350" s="234" t="s">
        <v>367</v>
      </c>
      <c r="J350" s="282">
        <v>38</v>
      </c>
      <c r="K350" s="373">
        <f>J350*H350</f>
        <v>27170</v>
      </c>
      <c r="L350" s="1"/>
      <c r="N350" s="167"/>
      <c r="O350" s="162"/>
      <c r="P350" s="162"/>
    </row>
    <row r="351" spans="1:16" ht="20.100000000000001" customHeight="1">
      <c r="A351" s="228"/>
      <c r="B351" s="39"/>
      <c r="C351" s="24"/>
      <c r="D351" s="286"/>
      <c r="E351" s="287"/>
      <c r="F351" s="287"/>
      <c r="G351" s="3"/>
      <c r="H351" s="244"/>
      <c r="I351" s="245"/>
      <c r="J351" s="227"/>
      <c r="K351" s="227"/>
      <c r="L351" s="64"/>
      <c r="N351" s="37"/>
      <c r="O351" s="38"/>
      <c r="P351" s="38"/>
    </row>
    <row r="352" spans="1:16" ht="150" customHeight="1">
      <c r="A352" s="231">
        <v>10</v>
      </c>
      <c r="B352" s="39" t="s">
        <v>137</v>
      </c>
      <c r="C352" s="30" t="s">
        <v>138</v>
      </c>
      <c r="D352" s="34"/>
      <c r="E352" s="35"/>
      <c r="F352" s="35"/>
      <c r="G352" s="265"/>
      <c r="H352" s="193"/>
      <c r="I352" s="229"/>
      <c r="J352" s="191"/>
      <c r="K352" s="191"/>
      <c r="L352" s="64"/>
      <c r="N352" s="37"/>
      <c r="O352" s="38"/>
      <c r="P352" s="38"/>
    </row>
    <row r="353" spans="1:16" ht="20.100000000000001" customHeight="1">
      <c r="A353" s="228"/>
      <c r="B353" s="39"/>
      <c r="C353" s="163" t="s">
        <v>127</v>
      </c>
      <c r="D353" s="34">
        <v>1</v>
      </c>
      <c r="E353" s="35">
        <v>20</v>
      </c>
      <c r="F353" s="35">
        <v>7</v>
      </c>
      <c r="G353" s="35"/>
      <c r="H353" s="185">
        <f>D353*E353*F353</f>
        <v>140</v>
      </c>
      <c r="I353" s="219" t="s">
        <v>366</v>
      </c>
      <c r="J353" s="191"/>
      <c r="K353" s="191"/>
      <c r="L353" s="1"/>
      <c r="N353" s="37"/>
      <c r="O353" s="38"/>
      <c r="P353" s="38"/>
    </row>
    <row r="354" spans="1:16" ht="20.100000000000001" customHeight="1">
      <c r="A354" s="228"/>
      <c r="B354" s="39"/>
      <c r="C354" s="163" t="s">
        <v>324</v>
      </c>
      <c r="D354" s="34">
        <v>8</v>
      </c>
      <c r="E354" s="35">
        <v>1.9</v>
      </c>
      <c r="F354" s="205">
        <v>1.07</v>
      </c>
      <c r="G354" s="206"/>
      <c r="H354" s="193">
        <f t="shared" ref="H354" si="11">F354*E354*D354</f>
        <v>16.263999999999999</v>
      </c>
      <c r="I354" s="185" t="s">
        <v>366</v>
      </c>
      <c r="J354" s="191"/>
      <c r="K354" s="191"/>
      <c r="L354" s="1"/>
      <c r="N354" s="167"/>
      <c r="O354" s="162"/>
      <c r="P354" s="162"/>
    </row>
    <row r="355" spans="1:16" ht="20.100000000000001" customHeight="1">
      <c r="A355" s="228"/>
      <c r="B355" s="39"/>
      <c r="C355" s="163" t="s">
        <v>325</v>
      </c>
      <c r="D355" s="34">
        <v>12</v>
      </c>
      <c r="E355" s="35">
        <v>1.22</v>
      </c>
      <c r="F355" s="208">
        <v>1.22</v>
      </c>
      <c r="G355" s="374"/>
      <c r="H355" s="296">
        <f t="shared" ref="H355" si="12">F355*E355*D355</f>
        <v>17.860799999999998</v>
      </c>
      <c r="I355" s="185" t="s">
        <v>366</v>
      </c>
      <c r="J355" s="191"/>
      <c r="K355" s="191"/>
      <c r="L355" s="1"/>
      <c r="N355" s="167"/>
      <c r="O355" s="162"/>
      <c r="P355" s="162"/>
    </row>
    <row r="356" spans="1:16" ht="20.100000000000001" customHeight="1">
      <c r="A356" s="228"/>
      <c r="B356" s="39"/>
      <c r="C356" s="30"/>
      <c r="D356" s="34"/>
      <c r="E356" s="35"/>
      <c r="F356" s="885" t="s">
        <v>43</v>
      </c>
      <c r="G356" s="922"/>
      <c r="H356" s="358">
        <f>SUM(H353:H355)</f>
        <v>174.12479999999999</v>
      </c>
      <c r="I356" s="229" t="s">
        <v>367</v>
      </c>
      <c r="J356" s="191"/>
      <c r="K356" s="191"/>
      <c r="L356" s="1"/>
      <c r="N356" s="37"/>
      <c r="O356" s="38"/>
      <c r="P356" s="38"/>
    </row>
    <row r="357" spans="1:16" ht="20.100000000000001" customHeight="1">
      <c r="A357" s="279"/>
      <c r="B357" s="103"/>
      <c r="C357" s="104"/>
      <c r="D357" s="299"/>
      <c r="E357" s="295"/>
      <c r="F357" s="327"/>
      <c r="G357" s="301" t="s">
        <v>10</v>
      </c>
      <c r="H357" s="233">
        <f>ROUNDUP(H356,0)</f>
        <v>175</v>
      </c>
      <c r="I357" s="234" t="s">
        <v>367</v>
      </c>
      <c r="J357" s="359">
        <v>990</v>
      </c>
      <c r="K357" s="351">
        <f>J357*H357</f>
        <v>173250</v>
      </c>
      <c r="L357" s="1"/>
      <c r="N357" s="37"/>
      <c r="O357" s="38"/>
      <c r="P357" s="38"/>
    </row>
    <row r="358" spans="1:16" ht="150" customHeight="1">
      <c r="A358" s="292">
        <v>11</v>
      </c>
      <c r="B358" s="105" t="s">
        <v>139</v>
      </c>
      <c r="C358" s="378" t="s">
        <v>140</v>
      </c>
      <c r="D358" s="875" t="s">
        <v>331</v>
      </c>
      <c r="E358" s="876"/>
      <c r="F358" s="876"/>
      <c r="G358" s="877"/>
      <c r="H358" s="293">
        <f>H286</f>
        <v>4864</v>
      </c>
      <c r="I358" s="237" t="s">
        <v>367</v>
      </c>
      <c r="J358" s="380">
        <v>7</v>
      </c>
      <c r="K358" s="381">
        <f>J358*H358</f>
        <v>34048</v>
      </c>
      <c r="L358" s="64"/>
      <c r="N358" s="37"/>
      <c r="O358" s="38"/>
      <c r="P358" s="38"/>
    </row>
    <row r="359" spans="1:16" ht="20.100000000000001" customHeight="1">
      <c r="A359" s="379"/>
      <c r="B359" s="356"/>
      <c r="C359" s="30"/>
      <c r="D359" s="252"/>
      <c r="E359" s="251"/>
      <c r="F359" s="251"/>
      <c r="G359" s="188"/>
      <c r="H359" s="229"/>
      <c r="I359" s="229"/>
      <c r="J359" s="247"/>
      <c r="K359" s="201"/>
      <c r="L359" s="1"/>
      <c r="N359" s="37"/>
      <c r="O359" s="38"/>
      <c r="P359" s="38"/>
    </row>
    <row r="360" spans="1:16" ht="138" customHeight="1">
      <c r="A360" s="231">
        <v>12</v>
      </c>
      <c r="B360" s="39" t="s">
        <v>141</v>
      </c>
      <c r="C360" s="30" t="s">
        <v>142</v>
      </c>
      <c r="D360" s="34"/>
      <c r="E360" s="35"/>
      <c r="F360" s="35"/>
      <c r="G360" s="265"/>
      <c r="H360" s="193"/>
      <c r="I360" s="229"/>
      <c r="J360" s="191"/>
      <c r="K360" s="191"/>
      <c r="L360" s="64"/>
      <c r="N360" s="37"/>
      <c r="O360" s="38"/>
      <c r="P360" s="38"/>
    </row>
    <row r="361" spans="1:16" ht="20.100000000000001" customHeight="1">
      <c r="A361" s="228"/>
      <c r="B361" s="39"/>
      <c r="C361" s="101" t="s">
        <v>179</v>
      </c>
      <c r="D361" s="34"/>
      <c r="E361" s="35"/>
      <c r="F361" s="35"/>
      <c r="G361" s="265"/>
      <c r="H361" s="193"/>
      <c r="I361" s="229"/>
      <c r="J361" s="191"/>
      <c r="K361" s="191"/>
      <c r="L361" s="1"/>
      <c r="N361" s="37"/>
      <c r="O361" s="38"/>
      <c r="P361" s="38"/>
    </row>
    <row r="362" spans="1:16" ht="20.100000000000001" customHeight="1">
      <c r="A362" s="228"/>
      <c r="B362" s="39"/>
      <c r="C362" s="170" t="s">
        <v>149</v>
      </c>
      <c r="D362" s="34"/>
      <c r="E362" s="35"/>
      <c r="F362" s="205"/>
      <c r="G362" s="206"/>
      <c r="H362" s="189"/>
      <c r="I362" s="229"/>
      <c r="J362" s="191"/>
      <c r="K362" s="191"/>
      <c r="L362" s="1"/>
      <c r="N362" s="37"/>
      <c r="O362" s="38"/>
      <c r="P362" s="38"/>
    </row>
    <row r="363" spans="1:16" ht="33.75" customHeight="1">
      <c r="A363" s="228"/>
      <c r="B363" s="39"/>
      <c r="C363" s="170" t="s">
        <v>168</v>
      </c>
      <c r="D363" s="286" t="s">
        <v>217</v>
      </c>
      <c r="E363" s="35">
        <v>1</v>
      </c>
      <c r="F363" s="205">
        <v>2.15</v>
      </c>
      <c r="G363" s="206"/>
      <c r="H363" s="193">
        <f>F363*E363*8*2*1.125</f>
        <v>38.699999999999996</v>
      </c>
      <c r="I363" s="185" t="s">
        <v>366</v>
      </c>
      <c r="J363" s="151"/>
      <c r="K363" s="151"/>
      <c r="L363" s="1"/>
      <c r="N363" s="37"/>
      <c r="O363" s="38"/>
      <c r="P363" s="38"/>
    </row>
    <row r="364" spans="1:16" ht="20.100000000000001" customHeight="1">
      <c r="A364" s="228"/>
      <c r="B364" s="39"/>
      <c r="C364" s="170" t="s">
        <v>221</v>
      </c>
      <c r="D364" s="34">
        <v>8</v>
      </c>
      <c r="E364" s="35">
        <v>1.8</v>
      </c>
      <c r="F364" s="205">
        <v>1.35</v>
      </c>
      <c r="G364" s="206"/>
      <c r="H364" s="193">
        <f>F364*E364*D364</f>
        <v>19.440000000000001</v>
      </c>
      <c r="I364" s="185" t="s">
        <v>366</v>
      </c>
      <c r="J364" s="151"/>
      <c r="K364" s="151"/>
      <c r="L364" s="1"/>
      <c r="N364" s="37"/>
      <c r="O364" s="38"/>
      <c r="P364" s="38"/>
    </row>
    <row r="365" spans="1:16" ht="20.100000000000001" customHeight="1">
      <c r="A365" s="228"/>
      <c r="B365" s="39"/>
      <c r="C365" s="170" t="s">
        <v>193</v>
      </c>
      <c r="D365" s="34" t="s">
        <v>163</v>
      </c>
      <c r="E365" s="35">
        <v>1.8</v>
      </c>
      <c r="F365" s="205">
        <v>0.15</v>
      </c>
      <c r="G365" s="206"/>
      <c r="H365" s="193">
        <f>F365*E365*8*2</f>
        <v>4.32</v>
      </c>
      <c r="I365" s="185" t="s">
        <v>366</v>
      </c>
      <c r="J365" s="151"/>
      <c r="K365" s="151"/>
      <c r="L365" s="1"/>
      <c r="N365" s="37"/>
      <c r="O365" s="38"/>
      <c r="P365" s="38"/>
    </row>
    <row r="366" spans="1:16" ht="20.100000000000001" customHeight="1">
      <c r="A366" s="228"/>
      <c r="B366" s="39"/>
      <c r="C366" s="170"/>
      <c r="D366" s="34" t="s">
        <v>163</v>
      </c>
      <c r="E366" s="35">
        <v>1.35</v>
      </c>
      <c r="F366" s="205">
        <v>0.15</v>
      </c>
      <c r="G366" s="206"/>
      <c r="H366" s="193">
        <f>F366*E366*8*2</f>
        <v>3.24</v>
      </c>
      <c r="I366" s="185" t="s">
        <v>366</v>
      </c>
      <c r="J366" s="151"/>
      <c r="K366" s="151"/>
      <c r="L366" s="1"/>
      <c r="N366" s="37"/>
      <c r="O366" s="38"/>
      <c r="P366" s="38"/>
    </row>
    <row r="367" spans="1:16" ht="20.100000000000001" customHeight="1">
      <c r="A367" s="228"/>
      <c r="B367" s="39"/>
      <c r="C367" s="170" t="s">
        <v>172</v>
      </c>
      <c r="D367" s="34"/>
      <c r="E367" s="35"/>
      <c r="F367" s="205"/>
      <c r="G367" s="206"/>
      <c r="H367" s="189"/>
      <c r="I367" s="229"/>
      <c r="J367" s="191"/>
      <c r="K367" s="191"/>
      <c r="L367" s="1"/>
      <c r="N367" s="37"/>
      <c r="O367" s="38"/>
      <c r="P367" s="38"/>
    </row>
    <row r="368" spans="1:16" ht="31.5" customHeight="1">
      <c r="A368" s="228"/>
      <c r="B368" s="39"/>
      <c r="C368" s="170" t="s">
        <v>169</v>
      </c>
      <c r="D368" s="286" t="s">
        <v>217</v>
      </c>
      <c r="E368" s="35">
        <v>0.9</v>
      </c>
      <c r="F368" s="205">
        <v>2.15</v>
      </c>
      <c r="G368" s="206"/>
      <c r="H368" s="193">
        <f>F368*E368*8*2*1.125</f>
        <v>34.83</v>
      </c>
      <c r="I368" s="185" t="s">
        <v>366</v>
      </c>
      <c r="J368" s="151"/>
      <c r="K368" s="151"/>
      <c r="L368" s="1"/>
      <c r="N368" s="37"/>
      <c r="O368" s="38"/>
      <c r="P368" s="38"/>
    </row>
    <row r="369" spans="1:16" ht="20.100000000000001" customHeight="1">
      <c r="A369" s="228"/>
      <c r="B369" s="39"/>
      <c r="C369" s="170" t="s">
        <v>173</v>
      </c>
      <c r="D369" s="34">
        <v>8</v>
      </c>
      <c r="E369" s="35">
        <v>1</v>
      </c>
      <c r="F369" s="205">
        <v>1.2</v>
      </c>
      <c r="G369" s="206"/>
      <c r="H369" s="193">
        <f>F369*E369*D369</f>
        <v>9.6</v>
      </c>
      <c r="I369" s="185" t="s">
        <v>366</v>
      </c>
      <c r="J369" s="151"/>
      <c r="K369" s="151"/>
      <c r="L369" s="1"/>
      <c r="N369" s="37"/>
      <c r="O369" s="38"/>
      <c r="P369" s="38"/>
    </row>
    <row r="370" spans="1:16" ht="20.100000000000001" customHeight="1">
      <c r="A370" s="228"/>
      <c r="B370" s="39"/>
      <c r="C370" s="170"/>
      <c r="D370" s="34" t="s">
        <v>163</v>
      </c>
      <c r="E370" s="35">
        <v>1.2</v>
      </c>
      <c r="F370" s="205">
        <v>0.1</v>
      </c>
      <c r="G370" s="206"/>
      <c r="H370" s="193">
        <f>F370*E370*8*2</f>
        <v>1.92</v>
      </c>
      <c r="I370" s="185" t="s">
        <v>366</v>
      </c>
      <c r="J370" s="151"/>
      <c r="K370" s="151"/>
      <c r="L370" s="1"/>
      <c r="N370" s="37"/>
      <c r="O370" s="38"/>
      <c r="P370" s="38"/>
    </row>
    <row r="371" spans="1:16" ht="20.100000000000001" customHeight="1">
      <c r="A371" s="228"/>
      <c r="B371" s="39"/>
      <c r="C371" s="170"/>
      <c r="D371" s="34" t="s">
        <v>163</v>
      </c>
      <c r="E371" s="35">
        <v>1.35</v>
      </c>
      <c r="F371" s="205">
        <v>0.1</v>
      </c>
      <c r="G371" s="206"/>
      <c r="H371" s="193">
        <f>F371*E371*8*2</f>
        <v>2.16</v>
      </c>
      <c r="I371" s="185" t="s">
        <v>366</v>
      </c>
      <c r="J371" s="151"/>
      <c r="K371" s="151"/>
      <c r="L371" s="1"/>
      <c r="N371" s="37"/>
      <c r="O371" s="38"/>
      <c r="P371" s="38"/>
    </row>
    <row r="372" spans="1:16" ht="20.100000000000001" customHeight="1">
      <c r="A372" s="228"/>
      <c r="B372" s="39"/>
      <c r="C372" s="170" t="s">
        <v>174</v>
      </c>
      <c r="D372" s="34">
        <v>8</v>
      </c>
      <c r="E372" s="35">
        <v>0.6</v>
      </c>
      <c r="F372" s="205">
        <v>1.2</v>
      </c>
      <c r="G372" s="206"/>
      <c r="H372" s="193">
        <f>F372*E372*D372</f>
        <v>5.76</v>
      </c>
      <c r="I372" s="185" t="s">
        <v>366</v>
      </c>
      <c r="J372" s="151"/>
      <c r="K372" s="151"/>
      <c r="L372" s="1"/>
      <c r="N372" s="37"/>
      <c r="O372" s="38"/>
      <c r="P372" s="38"/>
    </row>
    <row r="373" spans="1:16" ht="20.100000000000001" customHeight="1">
      <c r="A373" s="228"/>
      <c r="B373" s="39"/>
      <c r="C373" s="170" t="s">
        <v>219</v>
      </c>
      <c r="D373" s="34" t="s">
        <v>163</v>
      </c>
      <c r="E373" s="35">
        <v>0.6</v>
      </c>
      <c r="F373" s="205">
        <v>1.2</v>
      </c>
      <c r="G373" s="206"/>
      <c r="H373" s="193">
        <f>F373*E373*8*2</f>
        <v>11.52</v>
      </c>
      <c r="I373" s="185" t="s">
        <v>366</v>
      </c>
      <c r="J373" s="151"/>
      <c r="K373" s="151"/>
      <c r="L373" s="1"/>
      <c r="N373" s="37"/>
      <c r="O373" s="38"/>
      <c r="P373" s="38"/>
    </row>
    <row r="374" spans="1:16" ht="20.100000000000001" customHeight="1">
      <c r="A374" s="228"/>
      <c r="B374" s="39"/>
      <c r="C374" s="170"/>
      <c r="D374" s="34"/>
      <c r="E374" s="35"/>
      <c r="F374" s="205"/>
      <c r="G374" s="206"/>
      <c r="H374" s="193"/>
      <c r="I374" s="185"/>
      <c r="J374" s="151"/>
      <c r="K374" s="151"/>
      <c r="L374" s="1"/>
      <c r="N374" s="37"/>
      <c r="O374" s="38"/>
      <c r="P374" s="38"/>
    </row>
    <row r="375" spans="1:16" ht="20.100000000000001" customHeight="1">
      <c r="A375" s="228"/>
      <c r="B375" s="39"/>
      <c r="C375" s="170" t="s">
        <v>176</v>
      </c>
      <c r="D375" s="34" t="s">
        <v>218</v>
      </c>
      <c r="E375" s="35">
        <v>2.15</v>
      </c>
      <c r="F375" s="205">
        <v>2.5</v>
      </c>
      <c r="G375" s="206"/>
      <c r="H375" s="193">
        <f>F375*E375*1*1.5</f>
        <v>8.0625</v>
      </c>
      <c r="I375" s="185" t="s">
        <v>366</v>
      </c>
      <c r="J375" s="151"/>
      <c r="K375" s="151"/>
      <c r="L375" s="1"/>
      <c r="N375" s="37"/>
      <c r="O375" s="38"/>
      <c r="P375" s="38"/>
    </row>
    <row r="376" spans="1:16" ht="30" customHeight="1">
      <c r="A376" s="228"/>
      <c r="B376" s="39"/>
      <c r="C376" s="170" t="s">
        <v>177</v>
      </c>
      <c r="D376" s="286" t="s">
        <v>217</v>
      </c>
      <c r="E376" s="35">
        <v>0.9</v>
      </c>
      <c r="F376" s="208">
        <v>2.15</v>
      </c>
      <c r="G376" s="209"/>
      <c r="H376" s="210">
        <f>F376*E376*8*2*1.125</f>
        <v>34.83</v>
      </c>
      <c r="I376" s="275" t="s">
        <v>366</v>
      </c>
      <c r="J376" s="151"/>
      <c r="K376" s="151"/>
      <c r="L376" s="1"/>
      <c r="N376" s="37"/>
      <c r="O376" s="38"/>
      <c r="P376" s="38"/>
    </row>
    <row r="377" spans="1:16" ht="20.100000000000001" customHeight="1">
      <c r="A377" s="228"/>
      <c r="B377" s="39"/>
      <c r="C377" s="101"/>
      <c r="D377" s="34"/>
      <c r="E377" s="35"/>
      <c r="F377" s="885" t="s">
        <v>43</v>
      </c>
      <c r="G377" s="886"/>
      <c r="H377" s="233">
        <f>SUM(H363:H376)</f>
        <v>174.38249999999999</v>
      </c>
      <c r="I377" s="234" t="s">
        <v>368</v>
      </c>
      <c r="J377" s="191"/>
      <c r="K377" s="191"/>
      <c r="L377" s="1"/>
      <c r="N377" s="37"/>
      <c r="O377" s="38"/>
      <c r="P377" s="38"/>
    </row>
    <row r="378" spans="1:16" ht="20.100000000000001" customHeight="1">
      <c r="A378" s="228"/>
      <c r="B378" s="39"/>
      <c r="C378" s="101"/>
      <c r="D378" s="34"/>
      <c r="E378" s="35"/>
      <c r="F378" s="288"/>
      <c r="G378" s="382" t="s">
        <v>10</v>
      </c>
      <c r="H378" s="293">
        <f>ROUNDUP(H377,0)</f>
        <v>175</v>
      </c>
      <c r="I378" s="237" t="s">
        <v>381</v>
      </c>
      <c r="J378" s="191">
        <v>13</v>
      </c>
      <c r="K378" s="151">
        <f>J378*H378</f>
        <v>2275</v>
      </c>
      <c r="L378" s="1"/>
      <c r="N378" s="37"/>
      <c r="O378" s="38"/>
      <c r="P378" s="38"/>
    </row>
    <row r="379" spans="1:16" ht="20.100000000000001" customHeight="1">
      <c r="A379" s="228"/>
      <c r="B379" s="39"/>
      <c r="C379" s="248" t="s">
        <v>220</v>
      </c>
      <c r="D379" s="34"/>
      <c r="E379" s="35"/>
      <c r="F379" s="205"/>
      <c r="G379" s="206"/>
      <c r="H379" s="189"/>
      <c r="I379" s="229"/>
      <c r="J379" s="191"/>
      <c r="K379" s="191"/>
      <c r="L379" s="1"/>
      <c r="N379" s="37"/>
      <c r="O379" s="38"/>
      <c r="P379" s="38"/>
    </row>
    <row r="380" spans="1:16" ht="20.100000000000001" customHeight="1">
      <c r="A380" s="228"/>
      <c r="B380" s="39"/>
      <c r="C380" s="170" t="s">
        <v>149</v>
      </c>
      <c r="D380" s="34"/>
      <c r="E380" s="35"/>
      <c r="F380" s="205"/>
      <c r="G380" s="206"/>
      <c r="H380" s="189"/>
      <c r="I380" s="229"/>
      <c r="J380" s="191"/>
      <c r="K380" s="191"/>
      <c r="L380" s="1"/>
      <c r="N380" s="37"/>
      <c r="O380" s="38"/>
      <c r="P380" s="38"/>
    </row>
    <row r="381" spans="1:16" ht="33" customHeight="1">
      <c r="A381" s="228"/>
      <c r="B381" s="39"/>
      <c r="C381" s="170" t="s">
        <v>168</v>
      </c>
      <c r="D381" s="286" t="s">
        <v>217</v>
      </c>
      <c r="E381" s="35">
        <v>1</v>
      </c>
      <c r="F381" s="205">
        <v>2.2000000000000002</v>
      </c>
      <c r="G381" s="206"/>
      <c r="H381" s="193">
        <f>F381*E381*8*2*1.125</f>
        <v>39.6</v>
      </c>
      <c r="I381" s="185" t="s">
        <v>366</v>
      </c>
      <c r="J381" s="151"/>
      <c r="K381" s="151"/>
      <c r="L381" s="1"/>
      <c r="N381" s="37"/>
      <c r="O381" s="38"/>
      <c r="P381" s="38"/>
    </row>
    <row r="382" spans="1:16" ht="20.100000000000001" customHeight="1">
      <c r="A382" s="228"/>
      <c r="B382" s="39"/>
      <c r="C382" s="170" t="s">
        <v>221</v>
      </c>
      <c r="D382" s="34">
        <v>8</v>
      </c>
      <c r="E382" s="35">
        <v>1.8</v>
      </c>
      <c r="F382" s="205">
        <v>1.35</v>
      </c>
      <c r="G382" s="206"/>
      <c r="H382" s="193">
        <f>F382*E382*D382</f>
        <v>19.440000000000001</v>
      </c>
      <c r="I382" s="185" t="s">
        <v>366</v>
      </c>
      <c r="J382" s="151"/>
      <c r="K382" s="151"/>
      <c r="L382" s="1"/>
      <c r="N382" s="37"/>
      <c r="O382" s="38"/>
      <c r="P382" s="38"/>
    </row>
    <row r="383" spans="1:16" ht="20.100000000000001" customHeight="1">
      <c r="A383" s="228"/>
      <c r="B383" s="39"/>
      <c r="C383" s="170" t="s">
        <v>193</v>
      </c>
      <c r="D383" s="34" t="s">
        <v>163</v>
      </c>
      <c r="E383" s="35">
        <v>1.8</v>
      </c>
      <c r="F383" s="205">
        <v>0.3</v>
      </c>
      <c r="G383" s="206"/>
      <c r="H383" s="193">
        <f>F383*E383*8*2</f>
        <v>8.64</v>
      </c>
      <c r="I383" s="185" t="s">
        <v>366</v>
      </c>
      <c r="J383" s="151"/>
      <c r="K383" s="151"/>
      <c r="L383" s="1"/>
      <c r="N383" s="37"/>
      <c r="O383" s="38"/>
      <c r="P383" s="38"/>
    </row>
    <row r="384" spans="1:16" ht="20.100000000000001" customHeight="1">
      <c r="A384" s="228"/>
      <c r="B384" s="39"/>
      <c r="C384" s="170"/>
      <c r="D384" s="34" t="s">
        <v>163</v>
      </c>
      <c r="E384" s="35">
        <v>1.36</v>
      </c>
      <c r="F384" s="205">
        <v>0.3</v>
      </c>
      <c r="G384" s="206"/>
      <c r="H384" s="193">
        <f>F384*E384*8*2</f>
        <v>6.5280000000000005</v>
      </c>
      <c r="I384" s="185" t="s">
        <v>366</v>
      </c>
      <c r="J384" s="151"/>
      <c r="K384" s="151"/>
      <c r="L384" s="1"/>
      <c r="N384" s="37"/>
      <c r="O384" s="38"/>
      <c r="P384" s="38"/>
    </row>
    <row r="385" spans="1:16" ht="20.100000000000001" customHeight="1">
      <c r="A385" s="228"/>
      <c r="B385" s="39"/>
      <c r="C385" s="170" t="s">
        <v>159</v>
      </c>
      <c r="D385" s="34"/>
      <c r="E385" s="35"/>
      <c r="F385" s="205"/>
      <c r="G385" s="206"/>
      <c r="H385" s="189"/>
      <c r="I385" s="229"/>
      <c r="J385" s="191"/>
      <c r="K385" s="191"/>
      <c r="L385" s="1"/>
      <c r="N385" s="37"/>
      <c r="O385" s="38"/>
      <c r="P385" s="38"/>
    </row>
    <row r="386" spans="1:16" ht="31.5" customHeight="1">
      <c r="A386" s="228"/>
      <c r="B386" s="39"/>
      <c r="C386" s="170" t="s">
        <v>168</v>
      </c>
      <c r="D386" s="286" t="s">
        <v>217</v>
      </c>
      <c r="E386" s="35">
        <v>1</v>
      </c>
      <c r="F386" s="205">
        <v>2.2000000000000002</v>
      </c>
      <c r="G386" s="206"/>
      <c r="H386" s="193">
        <f>F386*E386*8*2*1.125</f>
        <v>39.6</v>
      </c>
      <c r="I386" s="185" t="s">
        <v>366</v>
      </c>
      <c r="J386" s="151"/>
      <c r="K386" s="151"/>
      <c r="L386" s="1"/>
      <c r="N386" s="37"/>
      <c r="O386" s="38"/>
      <c r="P386" s="38"/>
    </row>
    <row r="387" spans="1:16" ht="20.100000000000001" customHeight="1">
      <c r="A387" s="228"/>
      <c r="B387" s="39"/>
      <c r="C387" s="170" t="s">
        <v>173</v>
      </c>
      <c r="D387" s="34">
        <v>8</v>
      </c>
      <c r="E387" s="35">
        <v>1</v>
      </c>
      <c r="F387" s="205">
        <v>1.2</v>
      </c>
      <c r="G387" s="206"/>
      <c r="H387" s="193">
        <f>F387*E387*D387</f>
        <v>9.6</v>
      </c>
      <c r="I387" s="185" t="s">
        <v>366</v>
      </c>
      <c r="J387" s="151"/>
      <c r="K387" s="151"/>
      <c r="L387" s="1"/>
      <c r="N387" s="37"/>
      <c r="O387" s="38"/>
      <c r="P387" s="38"/>
    </row>
    <row r="388" spans="1:16" ht="20.100000000000001" customHeight="1">
      <c r="A388" s="228"/>
      <c r="B388" s="39"/>
      <c r="C388" s="170"/>
      <c r="D388" s="34" t="s">
        <v>163</v>
      </c>
      <c r="E388" s="35">
        <v>1.2</v>
      </c>
      <c r="F388" s="205">
        <v>0.1</v>
      </c>
      <c r="G388" s="206"/>
      <c r="H388" s="193">
        <f>F388*E388*8*2</f>
        <v>1.92</v>
      </c>
      <c r="I388" s="185" t="s">
        <v>366</v>
      </c>
      <c r="J388" s="151"/>
      <c r="K388" s="151"/>
      <c r="L388" s="1"/>
      <c r="N388" s="37"/>
      <c r="O388" s="38"/>
      <c r="P388" s="38"/>
    </row>
    <row r="389" spans="1:16" ht="20.100000000000001" customHeight="1">
      <c r="A389" s="228"/>
      <c r="B389" s="39"/>
      <c r="C389" s="170"/>
      <c r="D389" s="34" t="s">
        <v>163</v>
      </c>
      <c r="E389" s="35">
        <v>1.35</v>
      </c>
      <c r="F389" s="205">
        <v>0.1</v>
      </c>
      <c r="G389" s="206"/>
      <c r="H389" s="193">
        <f>F389*E389*8*2</f>
        <v>2.16</v>
      </c>
      <c r="I389" s="185" t="s">
        <v>366</v>
      </c>
      <c r="J389" s="151"/>
      <c r="K389" s="151"/>
      <c r="L389" s="1"/>
      <c r="N389" s="37"/>
      <c r="O389" s="38"/>
      <c r="P389" s="38"/>
    </row>
    <row r="390" spans="1:16" ht="20.100000000000001" customHeight="1">
      <c r="A390" s="228"/>
      <c r="B390" s="39"/>
      <c r="C390" s="170" t="s">
        <v>174</v>
      </c>
      <c r="D390" s="34">
        <v>8</v>
      </c>
      <c r="E390" s="35">
        <v>0.6</v>
      </c>
      <c r="F390" s="205">
        <v>1.2</v>
      </c>
      <c r="G390" s="206"/>
      <c r="H390" s="193">
        <f>F390*E390*D390</f>
        <v>5.76</v>
      </c>
      <c r="I390" s="185" t="s">
        <v>366</v>
      </c>
      <c r="J390" s="151"/>
      <c r="K390" s="151"/>
      <c r="L390" s="1"/>
      <c r="N390" s="37"/>
      <c r="O390" s="38"/>
      <c r="P390" s="38"/>
    </row>
    <row r="391" spans="1:16" ht="20.100000000000001" customHeight="1">
      <c r="A391" s="228"/>
      <c r="B391" s="39"/>
      <c r="C391" s="170" t="s">
        <v>172</v>
      </c>
      <c r="D391" s="34"/>
      <c r="E391" s="35"/>
      <c r="F391" s="205"/>
      <c r="G391" s="206"/>
      <c r="H391" s="189"/>
      <c r="I391" s="229"/>
      <c r="J391" s="191"/>
      <c r="K391" s="191"/>
      <c r="L391" s="1"/>
      <c r="N391" s="37"/>
      <c r="O391" s="38"/>
      <c r="P391" s="38"/>
    </row>
    <row r="392" spans="1:16" ht="37.5" customHeight="1">
      <c r="A392" s="228"/>
      <c r="B392" s="39"/>
      <c r="C392" s="170" t="s">
        <v>168</v>
      </c>
      <c r="D392" s="286" t="s">
        <v>217</v>
      </c>
      <c r="E392" s="35">
        <v>1</v>
      </c>
      <c r="F392" s="205">
        <v>2.2000000000000002</v>
      </c>
      <c r="G392" s="206"/>
      <c r="H392" s="193">
        <f>F392*E392*8*2*1.125</f>
        <v>39.6</v>
      </c>
      <c r="I392" s="185" t="s">
        <v>366</v>
      </c>
      <c r="J392" s="151"/>
      <c r="K392" s="151"/>
      <c r="L392" s="1"/>
      <c r="N392" s="37"/>
      <c r="O392" s="38"/>
      <c r="P392" s="38"/>
    </row>
    <row r="393" spans="1:16" ht="20.100000000000001" customHeight="1">
      <c r="A393" s="228"/>
      <c r="B393" s="39"/>
      <c r="C393" s="170" t="s">
        <v>173</v>
      </c>
      <c r="D393" s="34">
        <v>8</v>
      </c>
      <c r="E393" s="35">
        <v>1</v>
      </c>
      <c r="F393" s="205">
        <v>1.2</v>
      </c>
      <c r="G393" s="206"/>
      <c r="H393" s="193">
        <f>F393*E393*D393</f>
        <v>9.6</v>
      </c>
      <c r="I393" s="185" t="s">
        <v>366</v>
      </c>
      <c r="J393" s="151"/>
      <c r="K393" s="151"/>
      <c r="L393" s="1"/>
      <c r="N393" s="37"/>
      <c r="O393" s="38"/>
      <c r="P393" s="38"/>
    </row>
    <row r="394" spans="1:16" ht="20.100000000000001" customHeight="1">
      <c r="A394" s="228"/>
      <c r="B394" s="39"/>
      <c r="C394" s="170"/>
      <c r="D394" s="34" t="s">
        <v>163</v>
      </c>
      <c r="E394" s="35">
        <v>1.2</v>
      </c>
      <c r="F394" s="205">
        <v>0.1</v>
      </c>
      <c r="G394" s="206"/>
      <c r="H394" s="193">
        <f>F394*E394*8*2</f>
        <v>1.92</v>
      </c>
      <c r="I394" s="185" t="s">
        <v>366</v>
      </c>
      <c r="J394" s="151"/>
      <c r="K394" s="151"/>
      <c r="L394" s="1"/>
      <c r="N394" s="37"/>
      <c r="O394" s="38"/>
      <c r="P394" s="38"/>
    </row>
    <row r="395" spans="1:16" ht="20.100000000000001" customHeight="1">
      <c r="A395" s="228"/>
      <c r="B395" s="39"/>
      <c r="C395" s="170"/>
      <c r="D395" s="34" t="s">
        <v>163</v>
      </c>
      <c r="E395" s="35">
        <v>1.35</v>
      </c>
      <c r="F395" s="205">
        <v>0.1</v>
      </c>
      <c r="G395" s="206"/>
      <c r="H395" s="193">
        <f>F395*E395*8*2</f>
        <v>2.16</v>
      </c>
      <c r="I395" s="185" t="s">
        <v>366</v>
      </c>
      <c r="J395" s="151"/>
      <c r="K395" s="151"/>
      <c r="L395" s="1"/>
      <c r="N395" s="37"/>
      <c r="O395" s="38"/>
      <c r="P395" s="38"/>
    </row>
    <row r="396" spans="1:16" ht="20.100000000000001" customHeight="1">
      <c r="A396" s="228"/>
      <c r="B396" s="39"/>
      <c r="C396" s="170" t="s">
        <v>152</v>
      </c>
      <c r="D396" s="34"/>
      <c r="E396" s="35"/>
      <c r="F396" s="205"/>
      <c r="G396" s="206"/>
      <c r="H396" s="189"/>
      <c r="I396" s="229"/>
      <c r="J396" s="191"/>
      <c r="K396" s="191"/>
      <c r="L396" s="1"/>
      <c r="N396" s="37"/>
      <c r="O396" s="38"/>
      <c r="P396" s="38"/>
    </row>
    <row r="397" spans="1:16" ht="20.100000000000001" customHeight="1">
      <c r="A397" s="228"/>
      <c r="B397" s="39"/>
      <c r="C397" s="170" t="s">
        <v>175</v>
      </c>
      <c r="D397" s="34">
        <v>8</v>
      </c>
      <c r="E397" s="35">
        <v>0.6</v>
      </c>
      <c r="F397" s="205">
        <v>0.9</v>
      </c>
      <c r="G397" s="206"/>
      <c r="H397" s="193">
        <f>F397*E397*D397</f>
        <v>4.32</v>
      </c>
      <c r="I397" s="185" t="s">
        <v>366</v>
      </c>
      <c r="J397" s="151"/>
      <c r="K397" s="151"/>
      <c r="L397" s="1"/>
      <c r="N397" s="37"/>
      <c r="O397" s="38"/>
      <c r="P397" s="38"/>
    </row>
    <row r="398" spans="1:16" ht="20.100000000000001" customHeight="1">
      <c r="A398" s="228"/>
      <c r="B398" s="39"/>
      <c r="C398" s="170" t="s">
        <v>153</v>
      </c>
      <c r="D398" s="34"/>
      <c r="E398" s="35"/>
      <c r="F398" s="205"/>
      <c r="G398" s="206"/>
      <c r="H398" s="189"/>
      <c r="I398" s="229"/>
      <c r="J398" s="191"/>
      <c r="K398" s="191"/>
      <c r="L398" s="1"/>
      <c r="N398" s="37"/>
      <c r="O398" s="38"/>
      <c r="P398" s="38"/>
    </row>
    <row r="399" spans="1:16" ht="20.100000000000001" customHeight="1">
      <c r="A399" s="228"/>
      <c r="B399" s="39"/>
      <c r="C399" s="170" t="s">
        <v>175</v>
      </c>
      <c r="D399" s="34">
        <v>8</v>
      </c>
      <c r="E399" s="35">
        <v>0.6</v>
      </c>
      <c r="F399" s="205">
        <v>0.9</v>
      </c>
      <c r="G399" s="206"/>
      <c r="H399" s="193">
        <f>F399*E399*D399</f>
        <v>4.32</v>
      </c>
      <c r="I399" s="185" t="s">
        <v>366</v>
      </c>
      <c r="J399" s="151"/>
      <c r="K399" s="151"/>
      <c r="L399" s="1"/>
      <c r="N399" s="37"/>
      <c r="O399" s="38"/>
      <c r="P399" s="38"/>
    </row>
    <row r="400" spans="1:16" ht="20.100000000000001" customHeight="1">
      <c r="A400" s="228"/>
      <c r="B400" s="39"/>
      <c r="C400" s="170" t="s">
        <v>177</v>
      </c>
      <c r="D400" s="286" t="s">
        <v>222</v>
      </c>
      <c r="E400" s="35">
        <v>0.9</v>
      </c>
      <c r="F400" s="205">
        <v>2.1</v>
      </c>
      <c r="G400" s="206"/>
      <c r="H400" s="193">
        <f>F400*E400*2*1.125</f>
        <v>4.2525000000000004</v>
      </c>
      <c r="I400" s="185" t="s">
        <v>366</v>
      </c>
      <c r="J400" s="151"/>
      <c r="K400" s="151"/>
      <c r="L400" s="1"/>
      <c r="N400" s="37"/>
      <c r="O400" s="38"/>
      <c r="P400" s="38"/>
    </row>
    <row r="401" spans="1:16" ht="20.100000000000001" customHeight="1">
      <c r="A401" s="228"/>
      <c r="B401" s="39"/>
      <c r="C401" s="170" t="s">
        <v>176</v>
      </c>
      <c r="D401" s="34" t="s">
        <v>218</v>
      </c>
      <c r="E401" s="35">
        <v>2.15</v>
      </c>
      <c r="F401" s="208">
        <v>2.5</v>
      </c>
      <c r="G401" s="209"/>
      <c r="H401" s="210">
        <f>F401*E401*1*1.5</f>
        <v>8.0625</v>
      </c>
      <c r="I401" s="275" t="s">
        <v>366</v>
      </c>
      <c r="J401" s="151"/>
      <c r="K401" s="151"/>
      <c r="L401" s="1"/>
      <c r="N401" s="37"/>
      <c r="O401" s="38"/>
      <c r="P401" s="38"/>
    </row>
    <row r="402" spans="1:16" ht="20.100000000000001" customHeight="1">
      <c r="A402" s="228"/>
      <c r="B402" s="39"/>
      <c r="C402" s="170"/>
      <c r="D402" s="34"/>
      <c r="E402" s="35"/>
      <c r="F402" s="926" t="s">
        <v>158</v>
      </c>
      <c r="G402" s="927"/>
      <c r="H402" s="293">
        <f>SUM(H381:H401)</f>
        <v>207.48299999999998</v>
      </c>
      <c r="I402" s="237" t="s">
        <v>368</v>
      </c>
      <c r="J402" s="191"/>
      <c r="K402" s="191"/>
      <c r="L402" s="1"/>
      <c r="N402" s="37"/>
      <c r="O402" s="38"/>
      <c r="P402" s="38"/>
    </row>
    <row r="403" spans="1:16" ht="20.100000000000001" customHeight="1">
      <c r="A403" s="228"/>
      <c r="B403" s="39"/>
      <c r="C403" s="101"/>
      <c r="D403" s="34"/>
      <c r="E403" s="35"/>
      <c r="F403" s="35"/>
      <c r="G403" s="362" t="s">
        <v>10</v>
      </c>
      <c r="H403" s="293">
        <f>ROUNDUP(H402,0)</f>
        <v>208</v>
      </c>
      <c r="I403" s="237" t="s">
        <v>382</v>
      </c>
      <c r="J403" s="191">
        <v>13</v>
      </c>
      <c r="K403" s="151">
        <f>J403*H403</f>
        <v>2704</v>
      </c>
      <c r="L403" s="1"/>
      <c r="N403" s="37"/>
      <c r="O403" s="38"/>
      <c r="P403" s="38"/>
    </row>
    <row r="404" spans="1:16" ht="20.100000000000001" customHeight="1">
      <c r="A404" s="228"/>
      <c r="B404" s="39"/>
      <c r="C404" s="248" t="s">
        <v>223</v>
      </c>
      <c r="D404" s="34"/>
      <c r="E404" s="35"/>
      <c r="F404" s="205"/>
      <c r="G404" s="206"/>
      <c r="H404" s="189"/>
      <c r="I404" s="229"/>
      <c r="J404" s="191"/>
      <c r="K404" s="191"/>
      <c r="L404" s="1"/>
      <c r="N404" s="37"/>
      <c r="O404" s="38"/>
      <c r="P404" s="38"/>
    </row>
    <row r="405" spans="1:16" ht="20.100000000000001" customHeight="1">
      <c r="A405" s="228"/>
      <c r="B405" s="39"/>
      <c r="C405" s="170" t="s">
        <v>224</v>
      </c>
      <c r="D405" s="34"/>
      <c r="E405" s="35"/>
      <c r="F405" s="205"/>
      <c r="G405" s="206"/>
      <c r="H405" s="189"/>
      <c r="I405" s="229"/>
      <c r="J405" s="191"/>
      <c r="K405" s="191"/>
      <c r="L405" s="1"/>
      <c r="N405" s="37"/>
      <c r="O405" s="38"/>
      <c r="P405" s="38"/>
    </row>
    <row r="406" spans="1:16" ht="33" customHeight="1">
      <c r="A406" s="228"/>
      <c r="B406" s="39"/>
      <c r="C406" s="170" t="s">
        <v>168</v>
      </c>
      <c r="D406" s="286" t="s">
        <v>225</v>
      </c>
      <c r="E406" s="185">
        <v>1</v>
      </c>
      <c r="F406" s="205">
        <v>2.1</v>
      </c>
      <c r="G406" s="206"/>
      <c r="H406" s="193">
        <f>F406*E406*16*2*3*1.125</f>
        <v>226.8</v>
      </c>
      <c r="I406" s="185" t="s">
        <v>366</v>
      </c>
      <c r="J406" s="151"/>
      <c r="K406" s="151"/>
      <c r="L406" s="1"/>
      <c r="N406" s="37"/>
      <c r="O406" s="38"/>
      <c r="P406" s="38"/>
    </row>
    <row r="407" spans="1:16" ht="28.5" customHeight="1">
      <c r="A407" s="228"/>
      <c r="B407" s="39"/>
      <c r="C407" s="170" t="s">
        <v>226</v>
      </c>
      <c r="D407" s="286" t="s">
        <v>227</v>
      </c>
      <c r="E407" s="35">
        <v>1</v>
      </c>
      <c r="F407" s="205">
        <v>1.6</v>
      </c>
      <c r="G407" s="206"/>
      <c r="H407" s="193">
        <f>F407*E407*16*3</f>
        <v>76.800000000000011</v>
      </c>
      <c r="I407" s="185" t="s">
        <v>366</v>
      </c>
      <c r="J407" s="151"/>
      <c r="K407" s="151"/>
      <c r="L407" s="1"/>
      <c r="N407" s="37"/>
      <c r="O407" s="38"/>
      <c r="P407" s="38"/>
    </row>
    <row r="408" spans="1:16" ht="20.100000000000001" customHeight="1">
      <c r="A408" s="228"/>
      <c r="B408" s="39"/>
      <c r="C408" s="170" t="s">
        <v>228</v>
      </c>
      <c r="D408" s="286" t="s">
        <v>227</v>
      </c>
      <c r="E408" s="35">
        <v>0.6</v>
      </c>
      <c r="F408" s="205">
        <v>1.6</v>
      </c>
      <c r="G408" s="206"/>
      <c r="H408" s="193">
        <f>F408*E408*16*3</f>
        <v>46.08</v>
      </c>
      <c r="I408" s="185" t="s">
        <v>366</v>
      </c>
      <c r="J408" s="151"/>
      <c r="K408" s="151"/>
      <c r="L408" s="1"/>
      <c r="N408" s="37"/>
      <c r="O408" s="38"/>
      <c r="P408" s="38"/>
    </row>
    <row r="409" spans="1:16" ht="20.100000000000001" customHeight="1">
      <c r="A409" s="228"/>
      <c r="B409" s="39"/>
      <c r="C409" s="170" t="s">
        <v>229</v>
      </c>
      <c r="D409" s="286">
        <v>16</v>
      </c>
      <c r="E409" s="35">
        <v>0.9</v>
      </c>
      <c r="F409" s="205">
        <v>1.6</v>
      </c>
      <c r="G409" s="206"/>
      <c r="H409" s="193">
        <f>F409*E409*16*3</f>
        <v>69.12</v>
      </c>
      <c r="I409" s="185" t="s">
        <v>366</v>
      </c>
      <c r="J409" s="151"/>
      <c r="K409" s="151"/>
      <c r="L409" s="1"/>
      <c r="N409" s="37"/>
      <c r="O409" s="38"/>
      <c r="P409" s="38"/>
    </row>
    <row r="410" spans="1:16" ht="20.100000000000001" customHeight="1">
      <c r="A410" s="228"/>
      <c r="B410" s="39"/>
      <c r="C410" s="170" t="s">
        <v>178</v>
      </c>
      <c r="D410" s="34">
        <v>16</v>
      </c>
      <c r="E410" s="35">
        <v>2.9</v>
      </c>
      <c r="F410" s="205">
        <v>1.6</v>
      </c>
      <c r="G410" s="206"/>
      <c r="H410" s="193">
        <f>F410*E410*D410</f>
        <v>74.239999999999995</v>
      </c>
      <c r="I410" s="185" t="s">
        <v>366</v>
      </c>
      <c r="J410" s="151"/>
      <c r="K410" s="151"/>
      <c r="L410" s="1"/>
      <c r="N410" s="37"/>
      <c r="O410" s="38"/>
      <c r="P410" s="38"/>
    </row>
    <row r="411" spans="1:16" ht="20.100000000000001" customHeight="1">
      <c r="A411" s="228"/>
      <c r="B411" s="39"/>
      <c r="C411" s="170" t="s">
        <v>152</v>
      </c>
      <c r="D411" s="34"/>
      <c r="E411" s="35"/>
      <c r="F411" s="205"/>
      <c r="G411" s="206"/>
      <c r="H411" s="189"/>
      <c r="I411" s="229"/>
      <c r="J411" s="191"/>
      <c r="K411" s="191"/>
      <c r="L411" s="1"/>
      <c r="N411" s="37"/>
      <c r="O411" s="38"/>
      <c r="P411" s="38"/>
    </row>
    <row r="412" spans="1:16" ht="20.100000000000001" customHeight="1">
      <c r="A412" s="228"/>
      <c r="B412" s="39"/>
      <c r="C412" s="170" t="s">
        <v>175</v>
      </c>
      <c r="D412" s="34">
        <v>16</v>
      </c>
      <c r="E412" s="35">
        <v>0.6</v>
      </c>
      <c r="F412" s="205">
        <v>0.9</v>
      </c>
      <c r="G412" s="206"/>
      <c r="H412" s="193">
        <f>F412*E412*D412</f>
        <v>8.64</v>
      </c>
      <c r="I412" s="185" t="s">
        <v>366</v>
      </c>
      <c r="J412" s="151"/>
      <c r="K412" s="151"/>
      <c r="L412" s="1"/>
      <c r="N412" s="37"/>
      <c r="O412" s="38"/>
      <c r="P412" s="38"/>
    </row>
    <row r="413" spans="1:16" ht="20.100000000000001" customHeight="1">
      <c r="A413" s="228"/>
      <c r="B413" s="39"/>
      <c r="C413" s="170" t="s">
        <v>153</v>
      </c>
      <c r="D413" s="34"/>
      <c r="E413" s="35"/>
      <c r="F413" s="205"/>
      <c r="G413" s="206"/>
      <c r="H413" s="189"/>
      <c r="I413" s="229"/>
      <c r="J413" s="191"/>
      <c r="K413" s="191"/>
      <c r="L413" s="1"/>
      <c r="N413" s="37"/>
      <c r="O413" s="38"/>
      <c r="P413" s="38"/>
    </row>
    <row r="414" spans="1:16" ht="20.100000000000001" customHeight="1">
      <c r="A414" s="228"/>
      <c r="B414" s="39"/>
      <c r="C414" s="170" t="s">
        <v>175</v>
      </c>
      <c r="D414" s="34">
        <v>16</v>
      </c>
      <c r="E414" s="35">
        <v>0.6</v>
      </c>
      <c r="F414" s="205">
        <v>0.9</v>
      </c>
      <c r="G414" s="206"/>
      <c r="H414" s="193">
        <f>F414*E414*D414</f>
        <v>8.64</v>
      </c>
      <c r="I414" s="185" t="s">
        <v>366</v>
      </c>
      <c r="J414" s="151"/>
      <c r="K414" s="151"/>
      <c r="L414" s="1"/>
      <c r="N414" s="37"/>
      <c r="O414" s="38"/>
      <c r="P414" s="38"/>
    </row>
    <row r="415" spans="1:16" ht="20.100000000000001" customHeight="1">
      <c r="A415" s="228"/>
      <c r="B415" s="39"/>
      <c r="C415" s="170" t="s">
        <v>177</v>
      </c>
      <c r="D415" s="34" t="s">
        <v>231</v>
      </c>
      <c r="E415" s="35">
        <v>0.9</v>
      </c>
      <c r="F415" s="205">
        <v>2.15</v>
      </c>
      <c r="G415" s="206"/>
      <c r="H415" s="193">
        <f>F415*E415*2*2*1.125</f>
        <v>8.7074999999999996</v>
      </c>
      <c r="I415" s="185" t="s">
        <v>366</v>
      </c>
      <c r="J415" s="151"/>
      <c r="K415" s="151"/>
      <c r="L415" s="1"/>
      <c r="N415" s="37"/>
      <c r="O415" s="38"/>
      <c r="P415" s="38"/>
    </row>
    <row r="416" spans="1:16" ht="20.100000000000001" customHeight="1">
      <c r="A416" s="228"/>
      <c r="B416" s="39"/>
      <c r="C416" s="170" t="s">
        <v>176</v>
      </c>
      <c r="D416" s="34" t="s">
        <v>230</v>
      </c>
      <c r="E416" s="35">
        <v>2.15</v>
      </c>
      <c r="F416" s="208">
        <v>2.5</v>
      </c>
      <c r="G416" s="209"/>
      <c r="H416" s="210">
        <f>F416*E416*2*1.5</f>
        <v>16.125</v>
      </c>
      <c r="I416" s="275" t="s">
        <v>366</v>
      </c>
      <c r="J416" s="151"/>
      <c r="K416" s="151"/>
      <c r="L416" s="1"/>
      <c r="N416" s="37"/>
      <c r="O416" s="38"/>
      <c r="P416" s="38"/>
    </row>
    <row r="417" spans="1:16" ht="20.100000000000001" customHeight="1">
      <c r="A417" s="228"/>
      <c r="B417" s="39"/>
      <c r="C417" s="30"/>
      <c r="D417" s="34"/>
      <c r="E417" s="35"/>
      <c r="F417" s="885" t="s">
        <v>160</v>
      </c>
      <c r="G417" s="886"/>
      <c r="H417" s="233">
        <f>SUM(H406:H416)</f>
        <v>535.15250000000003</v>
      </c>
      <c r="I417" s="234" t="s">
        <v>368</v>
      </c>
      <c r="J417" s="191"/>
      <c r="K417" s="191"/>
      <c r="L417" s="1"/>
      <c r="N417" s="37"/>
      <c r="O417" s="38"/>
      <c r="P417" s="38"/>
    </row>
    <row r="418" spans="1:16" ht="20.100000000000001" customHeight="1">
      <c r="A418" s="228"/>
      <c r="B418" s="39"/>
      <c r="C418" s="101"/>
      <c r="D418" s="34"/>
      <c r="E418" s="35"/>
      <c r="F418" s="35"/>
      <c r="G418" s="362" t="s">
        <v>10</v>
      </c>
      <c r="H418" s="293">
        <f>ROUNDUP(H417,0)</f>
        <v>536</v>
      </c>
      <c r="I418" s="237" t="s">
        <v>383</v>
      </c>
      <c r="J418" s="191">
        <v>13</v>
      </c>
      <c r="K418" s="151">
        <f>J418*H418</f>
        <v>6968</v>
      </c>
      <c r="L418" s="1"/>
      <c r="N418" s="37"/>
      <c r="O418" s="38"/>
      <c r="P418" s="38"/>
    </row>
    <row r="419" spans="1:16" ht="20.100000000000001" customHeight="1">
      <c r="A419" s="228"/>
      <c r="B419" s="39"/>
      <c r="C419" s="101"/>
      <c r="D419" s="34"/>
      <c r="E419" s="35"/>
      <c r="F419" s="35"/>
      <c r="G419" s="236"/>
      <c r="H419" s="189"/>
      <c r="I419" s="229"/>
      <c r="J419" s="191"/>
      <c r="K419" s="191"/>
      <c r="L419" s="1"/>
      <c r="N419" s="150"/>
      <c r="O419" s="149"/>
      <c r="P419" s="149"/>
    </row>
    <row r="420" spans="1:16" ht="19.5" customHeight="1">
      <c r="A420" s="228"/>
      <c r="B420" s="39"/>
      <c r="C420" s="248" t="s">
        <v>232</v>
      </c>
      <c r="D420" s="34"/>
      <c r="E420" s="35"/>
      <c r="F420" s="205"/>
      <c r="G420" s="206"/>
      <c r="H420" s="189"/>
      <c r="I420" s="229"/>
      <c r="J420" s="191"/>
      <c r="K420" s="191"/>
      <c r="L420" s="1"/>
      <c r="N420" s="37"/>
      <c r="O420" s="38"/>
      <c r="P420" s="38"/>
    </row>
    <row r="421" spans="1:16" ht="19.5" customHeight="1">
      <c r="A421" s="228"/>
      <c r="B421" s="39"/>
      <c r="C421" s="170" t="s">
        <v>171</v>
      </c>
      <c r="D421" s="34">
        <v>3</v>
      </c>
      <c r="E421" s="35">
        <v>2.2000000000000002</v>
      </c>
      <c r="F421" s="205">
        <v>1.2</v>
      </c>
      <c r="G421" s="206"/>
      <c r="H421" s="193">
        <f>F421*E421*D421</f>
        <v>7.92</v>
      </c>
      <c r="I421" s="185" t="s">
        <v>366</v>
      </c>
      <c r="J421" s="151"/>
      <c r="K421" s="151"/>
      <c r="L421" s="1"/>
      <c r="N421" s="37"/>
      <c r="O421" s="38"/>
      <c r="P421" s="38"/>
    </row>
    <row r="422" spans="1:16" ht="19.5" customHeight="1">
      <c r="A422" s="228"/>
      <c r="B422" s="39"/>
      <c r="C422" s="170"/>
      <c r="D422" s="34" t="s">
        <v>128</v>
      </c>
      <c r="E422" s="35">
        <v>2.2000000000000002</v>
      </c>
      <c r="F422" s="205">
        <v>0.1</v>
      </c>
      <c r="G422" s="206"/>
      <c r="H422" s="193">
        <f>F422*E422*3*2</f>
        <v>1.3200000000000003</v>
      </c>
      <c r="I422" s="185" t="s">
        <v>366</v>
      </c>
      <c r="J422" s="151"/>
      <c r="K422" s="151"/>
      <c r="L422" s="102" t="s">
        <v>233</v>
      </c>
      <c r="N422" s="37"/>
      <c r="O422" s="38"/>
      <c r="P422" s="38"/>
    </row>
    <row r="423" spans="1:16" ht="19.5" customHeight="1">
      <c r="A423" s="228"/>
      <c r="B423" s="39"/>
      <c r="C423" s="170"/>
      <c r="D423" s="34" t="s">
        <v>128</v>
      </c>
      <c r="E423" s="35">
        <v>1.2</v>
      </c>
      <c r="F423" s="208">
        <v>0.1</v>
      </c>
      <c r="G423" s="209"/>
      <c r="H423" s="210">
        <f>F423*E423*3*2</f>
        <v>0.72</v>
      </c>
      <c r="I423" s="275" t="s">
        <v>366</v>
      </c>
      <c r="J423" s="151"/>
      <c r="K423" s="151"/>
      <c r="L423" s="102" t="s">
        <v>234</v>
      </c>
      <c r="N423" s="37"/>
      <c r="O423" s="38"/>
      <c r="P423" s="38"/>
    </row>
    <row r="424" spans="1:16" ht="19.5" customHeight="1">
      <c r="A424" s="228"/>
      <c r="B424" s="39"/>
      <c r="C424" s="170"/>
      <c r="D424" s="284"/>
      <c r="E424" s="35"/>
      <c r="F424" s="926" t="s">
        <v>43</v>
      </c>
      <c r="G424" s="927"/>
      <c r="H424" s="241">
        <f>SUM(H421:H423)</f>
        <v>9.9600000000000009</v>
      </c>
      <c r="I424" s="229" t="s">
        <v>368</v>
      </c>
      <c r="J424" s="191"/>
      <c r="K424" s="191"/>
      <c r="L424" s="102" t="s">
        <v>235</v>
      </c>
      <c r="N424" s="37"/>
      <c r="O424" s="38"/>
      <c r="P424" s="38"/>
    </row>
    <row r="425" spans="1:16" ht="19.5" customHeight="1">
      <c r="A425" s="228"/>
      <c r="B425" s="39"/>
      <c r="C425" s="170"/>
      <c r="D425" s="284"/>
      <c r="E425" s="35"/>
      <c r="F425" s="289"/>
      <c r="G425" s="383" t="s">
        <v>10</v>
      </c>
      <c r="H425" s="233">
        <f>ROUNDUP(H424,0)</f>
        <v>10</v>
      </c>
      <c r="I425" s="234" t="s">
        <v>384</v>
      </c>
      <c r="J425" s="191"/>
      <c r="K425" s="191"/>
      <c r="L425" s="102" t="s">
        <v>236</v>
      </c>
      <c r="N425" s="37"/>
      <c r="O425" s="38"/>
      <c r="P425" s="38"/>
    </row>
    <row r="426" spans="1:16" ht="19.5" customHeight="1">
      <c r="A426" s="228"/>
      <c r="B426" s="39"/>
      <c r="C426" s="170" t="s">
        <v>238</v>
      </c>
      <c r="D426" s="284"/>
      <c r="E426" s="35"/>
      <c r="F426" s="289"/>
      <c r="G426" s="236"/>
      <c r="H426" s="189"/>
      <c r="I426" s="229"/>
      <c r="J426" s="191"/>
      <c r="K426" s="191"/>
      <c r="L426" s="102"/>
      <c r="N426" s="37"/>
      <c r="O426" s="38"/>
      <c r="P426" s="38"/>
    </row>
    <row r="427" spans="1:16" ht="19.5" customHeight="1">
      <c r="A427" s="228"/>
      <c r="B427" s="39"/>
      <c r="C427" s="170" t="s">
        <v>240</v>
      </c>
      <c r="D427" s="284">
        <v>2</v>
      </c>
      <c r="E427" s="35">
        <v>101</v>
      </c>
      <c r="F427" s="205">
        <v>1.5</v>
      </c>
      <c r="G427" s="236"/>
      <c r="H427" s="193">
        <f>F427*E427*D427</f>
        <v>303</v>
      </c>
      <c r="I427" s="185" t="s">
        <v>366</v>
      </c>
      <c r="J427" s="151"/>
      <c r="K427" s="151"/>
      <c r="L427" s="102"/>
      <c r="N427" s="37"/>
      <c r="O427" s="38"/>
      <c r="P427" s="38"/>
    </row>
    <row r="428" spans="1:16" ht="19.5" customHeight="1">
      <c r="A428" s="228"/>
      <c r="B428" s="39"/>
      <c r="C428" s="170" t="s">
        <v>239</v>
      </c>
      <c r="D428" s="284">
        <v>2</v>
      </c>
      <c r="E428" s="35">
        <v>43</v>
      </c>
      <c r="F428" s="205">
        <v>1.5</v>
      </c>
      <c r="G428" s="236"/>
      <c r="H428" s="193">
        <f>F428*E428*D428</f>
        <v>129</v>
      </c>
      <c r="I428" s="185" t="s">
        <v>366</v>
      </c>
      <c r="J428" s="151"/>
      <c r="K428" s="151"/>
      <c r="L428" s="102"/>
      <c r="N428" s="37"/>
      <c r="O428" s="38"/>
      <c r="P428" s="38"/>
    </row>
    <row r="429" spans="1:16" ht="19.5" customHeight="1">
      <c r="A429" s="228"/>
      <c r="B429" s="39"/>
      <c r="C429" s="170" t="s">
        <v>241</v>
      </c>
      <c r="D429" s="284">
        <v>2</v>
      </c>
      <c r="E429" s="35">
        <v>102.5</v>
      </c>
      <c r="F429" s="205">
        <v>1.5</v>
      </c>
      <c r="G429" s="236"/>
      <c r="H429" s="193">
        <f>F429*E429*D429</f>
        <v>307.5</v>
      </c>
      <c r="I429" s="185" t="s">
        <v>366</v>
      </c>
      <c r="J429" s="151"/>
      <c r="K429" s="151"/>
      <c r="L429" s="102"/>
      <c r="N429" s="37"/>
      <c r="O429" s="38"/>
      <c r="P429" s="38"/>
    </row>
    <row r="430" spans="1:16" ht="19.5" customHeight="1">
      <c r="A430" s="228"/>
      <c r="B430" s="39"/>
      <c r="C430" s="170" t="s">
        <v>242</v>
      </c>
      <c r="D430" s="284">
        <v>2</v>
      </c>
      <c r="E430" s="35">
        <v>7</v>
      </c>
      <c r="F430" s="205">
        <v>2.5</v>
      </c>
      <c r="G430" s="236"/>
      <c r="H430" s="193">
        <f>F430*E430*D430</f>
        <v>35</v>
      </c>
      <c r="I430" s="185" t="s">
        <v>366</v>
      </c>
      <c r="J430" s="151"/>
      <c r="K430" s="151"/>
      <c r="L430" s="102"/>
      <c r="N430" s="37"/>
      <c r="O430" s="38"/>
      <c r="P430" s="38"/>
    </row>
    <row r="431" spans="1:16" ht="19.5" customHeight="1">
      <c r="A431" s="228"/>
      <c r="B431" s="39"/>
      <c r="C431" s="170"/>
      <c r="D431" s="284"/>
      <c r="E431" s="35"/>
      <c r="F431" s="885" t="s">
        <v>43</v>
      </c>
      <c r="G431" s="886"/>
      <c r="H431" s="233">
        <f>SUM(H427:H430)</f>
        <v>774.5</v>
      </c>
      <c r="I431" s="234" t="s">
        <v>368</v>
      </c>
      <c r="J431" s="191"/>
      <c r="K431" s="191"/>
      <c r="L431" s="102"/>
      <c r="N431" s="37"/>
      <c r="O431" s="38"/>
      <c r="P431" s="38"/>
    </row>
    <row r="432" spans="1:16" ht="19.5" customHeight="1">
      <c r="A432" s="228"/>
      <c r="B432" s="39"/>
      <c r="C432" s="170"/>
      <c r="D432" s="284"/>
      <c r="E432" s="35"/>
      <c r="F432" s="289"/>
      <c r="G432" s="362" t="s">
        <v>10</v>
      </c>
      <c r="H432" s="293">
        <f>ROUNDUP(H431,0)</f>
        <v>775</v>
      </c>
      <c r="I432" s="237" t="s">
        <v>385</v>
      </c>
      <c r="J432" s="191"/>
      <c r="K432" s="191"/>
      <c r="L432" s="102"/>
      <c r="N432" s="37"/>
      <c r="O432" s="38"/>
      <c r="P432" s="38"/>
    </row>
    <row r="433" spans="1:16" ht="19.5" customHeight="1">
      <c r="A433" s="228"/>
      <c r="B433" s="39"/>
      <c r="C433" s="852" t="s">
        <v>346</v>
      </c>
      <c r="D433" s="928"/>
      <c r="E433" s="928"/>
      <c r="F433" s="928"/>
      <c r="G433" s="929"/>
      <c r="H433" s="189">
        <f>H432+H425+H418+H403+H378</f>
        <v>1704</v>
      </c>
      <c r="I433" s="234" t="s">
        <v>368</v>
      </c>
      <c r="J433" s="191"/>
      <c r="K433" s="191"/>
      <c r="L433" s="102" t="s">
        <v>237</v>
      </c>
      <c r="N433" s="37"/>
      <c r="O433" s="38"/>
      <c r="P433" s="38"/>
    </row>
    <row r="434" spans="1:16" ht="19.5" customHeight="1">
      <c r="A434" s="279"/>
      <c r="B434" s="103"/>
      <c r="C434" s="384"/>
      <c r="D434" s="299"/>
      <c r="E434" s="295"/>
      <c r="F434" s="295"/>
      <c r="G434" s="361" t="s">
        <v>10</v>
      </c>
      <c r="H434" s="233">
        <v>1710</v>
      </c>
      <c r="I434" s="234" t="s">
        <v>368</v>
      </c>
      <c r="J434" s="359">
        <v>13</v>
      </c>
      <c r="K434" s="351">
        <f>J434*H434</f>
        <v>22230</v>
      </c>
      <c r="L434" s="102"/>
      <c r="N434" s="37"/>
      <c r="O434" s="38"/>
      <c r="P434" s="38"/>
    </row>
    <row r="435" spans="1:16" ht="123.75" customHeight="1">
      <c r="A435" s="292">
        <v>13</v>
      </c>
      <c r="B435" s="105" t="s">
        <v>329</v>
      </c>
      <c r="C435" s="378" t="s">
        <v>330</v>
      </c>
      <c r="D435" s="875" t="s">
        <v>332</v>
      </c>
      <c r="E435" s="876"/>
      <c r="F435" s="876"/>
      <c r="G435" s="877"/>
      <c r="H435" s="293">
        <f>H282+H283</f>
        <v>2983</v>
      </c>
      <c r="I435" s="237" t="s">
        <v>367</v>
      </c>
      <c r="J435" s="380">
        <v>130</v>
      </c>
      <c r="K435" s="385">
        <f>J435*H435</f>
        <v>387790</v>
      </c>
      <c r="L435" s="4"/>
      <c r="N435" s="37"/>
      <c r="O435" s="38"/>
      <c r="P435" s="38"/>
    </row>
    <row r="436" spans="1:16" ht="15.75">
      <c r="A436" s="231"/>
      <c r="B436" s="39"/>
      <c r="C436" s="30"/>
      <c r="D436" s="263"/>
      <c r="E436" s="290"/>
      <c r="F436" s="290"/>
      <c r="G436" s="291"/>
      <c r="H436" s="189"/>
      <c r="I436" s="229"/>
      <c r="J436" s="276"/>
      <c r="K436" s="219"/>
      <c r="L436" s="4"/>
      <c r="N436" s="167"/>
      <c r="O436" s="162"/>
      <c r="P436" s="162"/>
    </row>
    <row r="437" spans="1:16" ht="60">
      <c r="A437" s="231">
        <v>14</v>
      </c>
      <c r="B437" s="39" t="s">
        <v>333</v>
      </c>
      <c r="C437" s="30" t="s">
        <v>334</v>
      </c>
      <c r="D437" s="263"/>
      <c r="E437" s="290"/>
      <c r="F437" s="290"/>
      <c r="G437" s="291"/>
      <c r="H437" s="189"/>
      <c r="I437" s="229"/>
      <c r="J437" s="276"/>
      <c r="K437" s="219"/>
      <c r="L437" s="4"/>
      <c r="N437" s="167"/>
      <c r="O437" s="162"/>
      <c r="P437" s="162"/>
    </row>
    <row r="438" spans="1:16" ht="15.75">
      <c r="A438" s="386"/>
      <c r="B438" s="103"/>
      <c r="C438" s="104" t="s">
        <v>337</v>
      </c>
      <c r="D438" s="387"/>
      <c r="E438" s="388"/>
      <c r="F438" s="388"/>
      <c r="G438" s="389"/>
      <c r="H438" s="233">
        <f>H282</f>
        <v>715</v>
      </c>
      <c r="I438" s="234" t="s">
        <v>367</v>
      </c>
      <c r="J438" s="282">
        <v>6</v>
      </c>
      <c r="K438" s="296">
        <f>J438*H438</f>
        <v>4290</v>
      </c>
      <c r="L438" s="4"/>
      <c r="N438" s="167"/>
      <c r="O438" s="162"/>
      <c r="P438" s="162"/>
    </row>
    <row r="439" spans="1:16" ht="15.75">
      <c r="A439" s="228"/>
      <c r="B439" s="39"/>
      <c r="C439" s="30"/>
      <c r="D439" s="263"/>
      <c r="E439" s="290"/>
      <c r="F439" s="290"/>
      <c r="G439" s="291"/>
      <c r="H439" s="189"/>
      <c r="I439" s="229"/>
      <c r="J439" s="276"/>
      <c r="K439" s="219"/>
      <c r="L439" s="4"/>
      <c r="N439" s="167"/>
      <c r="O439" s="162"/>
      <c r="P439" s="162"/>
    </row>
    <row r="440" spans="1:16" ht="153" customHeight="1">
      <c r="A440" s="908">
        <v>15</v>
      </c>
      <c r="B440" s="915" t="s">
        <v>335</v>
      </c>
      <c r="C440" s="179" t="s">
        <v>336</v>
      </c>
      <c r="D440" s="931" t="s">
        <v>243</v>
      </c>
      <c r="E440" s="932"/>
      <c r="F440" s="932"/>
      <c r="G440" s="933"/>
      <c r="H440" s="233"/>
      <c r="I440" s="234"/>
      <c r="J440" s="276"/>
      <c r="K440" s="219"/>
      <c r="L440" s="154"/>
      <c r="N440" s="861"/>
      <c r="O440" s="862"/>
      <c r="P440" s="862"/>
    </row>
    <row r="441" spans="1:16" ht="15.75">
      <c r="A441" s="909"/>
      <c r="B441" s="930"/>
      <c r="C441" s="390" t="s">
        <v>338</v>
      </c>
      <c r="D441" s="934"/>
      <c r="E441" s="934"/>
      <c r="F441" s="934"/>
      <c r="G441" s="935"/>
      <c r="H441" s="233">
        <f>H284</f>
        <v>1881</v>
      </c>
      <c r="I441" s="234" t="s">
        <v>367</v>
      </c>
      <c r="J441" s="282">
        <v>205</v>
      </c>
      <c r="K441" s="296">
        <f>J441*H441</f>
        <v>385605</v>
      </c>
      <c r="L441" s="154"/>
      <c r="N441" s="168"/>
      <c r="O441" s="169"/>
      <c r="P441" s="169"/>
    </row>
    <row r="442" spans="1:16" ht="122.25" customHeight="1">
      <c r="A442" s="292">
        <v>16</v>
      </c>
      <c r="B442" s="105" t="s">
        <v>143</v>
      </c>
      <c r="C442" s="106" t="s">
        <v>144</v>
      </c>
      <c r="D442" s="945" t="s">
        <v>244</v>
      </c>
      <c r="E442" s="946"/>
      <c r="F442" s="946"/>
      <c r="G442" s="947"/>
      <c r="H442" s="293">
        <f>H434</f>
        <v>1710</v>
      </c>
      <c r="I442" s="237" t="s">
        <v>367</v>
      </c>
      <c r="J442" s="380">
        <v>95</v>
      </c>
      <c r="K442" s="385">
        <f>J442*H442</f>
        <v>162450</v>
      </c>
      <c r="L442" s="154"/>
    </row>
    <row r="443" spans="1:16" ht="115.5" customHeight="1">
      <c r="A443" s="231">
        <v>17</v>
      </c>
      <c r="B443" s="294" t="s">
        <v>5</v>
      </c>
      <c r="C443" s="24" t="s">
        <v>52</v>
      </c>
      <c r="D443" s="34"/>
      <c r="E443" s="35"/>
      <c r="F443" s="36"/>
      <c r="G443" s="35"/>
      <c r="H443" s="193"/>
      <c r="I443" s="229"/>
      <c r="J443" s="191"/>
      <c r="K443" s="191"/>
    </row>
    <row r="444" spans="1:16">
      <c r="A444" s="231"/>
      <c r="B444" s="294"/>
      <c r="C444" s="33" t="s">
        <v>339</v>
      </c>
      <c r="D444" s="34"/>
      <c r="E444" s="35"/>
      <c r="F444" s="36"/>
      <c r="G444" s="35"/>
      <c r="H444" s="193"/>
      <c r="I444" s="229"/>
      <c r="J444" s="191"/>
      <c r="K444" s="191"/>
    </row>
    <row r="445" spans="1:16" ht="36" customHeight="1">
      <c r="A445" s="228"/>
      <c r="B445" s="13"/>
      <c r="C445" s="29" t="s">
        <v>266</v>
      </c>
      <c r="D445" s="34">
        <v>9</v>
      </c>
      <c r="E445" s="35">
        <v>0.9</v>
      </c>
      <c r="F445" s="36">
        <v>0.9</v>
      </c>
      <c r="G445" s="35">
        <v>0.2</v>
      </c>
      <c r="H445" s="193">
        <f>G445*F445*E445*D445</f>
        <v>1.4580000000000002</v>
      </c>
      <c r="I445" s="185" t="s">
        <v>8</v>
      </c>
      <c r="J445" s="151"/>
      <c r="K445" s="151"/>
      <c r="L445" s="154">
        <v>7945</v>
      </c>
    </row>
    <row r="446" spans="1:16" ht="30.75" customHeight="1">
      <c r="A446" s="228"/>
      <c r="B446" s="13"/>
      <c r="C446" s="29" t="s">
        <v>267</v>
      </c>
      <c r="D446" s="34">
        <v>9</v>
      </c>
      <c r="E446" s="35">
        <v>0.3</v>
      </c>
      <c r="F446" s="36">
        <v>0.3</v>
      </c>
      <c r="G446" s="35">
        <v>1.2</v>
      </c>
      <c r="H446" s="219">
        <f>G446*F446*E446*D446</f>
        <v>0.97199999999999998</v>
      </c>
      <c r="I446" s="275" t="s">
        <v>8</v>
      </c>
      <c r="J446" s="151"/>
      <c r="K446" s="151"/>
    </row>
    <row r="447" spans="1:16" ht="20.100000000000001" customHeight="1">
      <c r="A447" s="228"/>
      <c r="B447" s="302"/>
      <c r="C447" s="29"/>
      <c r="D447" s="34"/>
      <c r="E447" s="35"/>
      <c r="F447" s="858" t="s">
        <v>43</v>
      </c>
      <c r="G447" s="858"/>
      <c r="H447" s="237">
        <f>SUM(H445:H446)</f>
        <v>2.4300000000000002</v>
      </c>
      <c r="I447" s="229" t="s">
        <v>8</v>
      </c>
      <c r="J447" s="191"/>
      <c r="K447" s="191"/>
    </row>
    <row r="448" spans="1:16" ht="20.100000000000001" customHeight="1">
      <c r="A448" s="279"/>
      <c r="B448" s="297"/>
      <c r="C448" s="298"/>
      <c r="D448" s="299"/>
      <c r="E448" s="295"/>
      <c r="F448" s="300"/>
      <c r="G448" s="301" t="s">
        <v>10</v>
      </c>
      <c r="H448" s="233">
        <v>3</v>
      </c>
      <c r="I448" s="234" t="s">
        <v>8</v>
      </c>
      <c r="J448" s="359"/>
      <c r="K448" s="359"/>
    </row>
    <row r="449" spans="1:12" ht="72" customHeight="1">
      <c r="A449" s="231">
        <v>18</v>
      </c>
      <c r="B449" s="294" t="s">
        <v>0</v>
      </c>
      <c r="C449" s="24" t="s">
        <v>50</v>
      </c>
      <c r="D449" s="34"/>
      <c r="E449" s="35"/>
      <c r="F449" s="36"/>
      <c r="G449" s="283"/>
      <c r="H449" s="189"/>
      <c r="I449" s="229"/>
      <c r="J449" s="191"/>
      <c r="K449" s="191"/>
    </row>
    <row r="450" spans="1:12" ht="20.100000000000001" customHeight="1">
      <c r="A450" s="228"/>
      <c r="B450" s="302"/>
      <c r="C450" s="33" t="s">
        <v>1</v>
      </c>
      <c r="D450" s="34"/>
      <c r="E450" s="35"/>
      <c r="F450" s="36"/>
      <c r="G450" s="283"/>
      <c r="H450" s="189"/>
      <c r="I450" s="229"/>
      <c r="J450" s="191"/>
      <c r="K450" s="191"/>
    </row>
    <row r="451" spans="1:12" ht="20.100000000000001" customHeight="1">
      <c r="A451" s="228"/>
      <c r="B451" s="13"/>
      <c r="C451" s="29" t="s">
        <v>53</v>
      </c>
      <c r="D451" s="34"/>
      <c r="E451" s="35"/>
      <c r="F451" s="36"/>
      <c r="G451" s="283"/>
      <c r="H451" s="189"/>
      <c r="I451" s="229"/>
      <c r="J451" s="191"/>
      <c r="K451" s="191"/>
    </row>
    <row r="452" spans="1:12" ht="20.100000000000001" customHeight="1">
      <c r="A452" s="228"/>
      <c r="B452" s="13"/>
      <c r="C452" s="26" t="s">
        <v>340</v>
      </c>
      <c r="D452" s="34"/>
      <c r="E452" s="35"/>
      <c r="F452" s="13"/>
      <c r="G452" s="35"/>
      <c r="H452" s="193">
        <f>H448*70</f>
        <v>210</v>
      </c>
      <c r="I452" s="229"/>
      <c r="J452" s="191"/>
      <c r="K452" s="191"/>
      <c r="L452" s="154"/>
    </row>
    <row r="453" spans="1:12" ht="28.5" customHeight="1">
      <c r="A453" s="228"/>
      <c r="B453" s="13"/>
      <c r="C453" s="29" t="s">
        <v>31</v>
      </c>
      <c r="D453" s="34"/>
      <c r="E453" s="35"/>
      <c r="F453" s="948" t="s">
        <v>54</v>
      </c>
      <c r="G453" s="949"/>
      <c r="H453" s="233">
        <v>200</v>
      </c>
      <c r="I453" s="234" t="s">
        <v>14</v>
      </c>
      <c r="J453" s="191"/>
      <c r="K453" s="191"/>
    </row>
    <row r="454" spans="1:12" ht="20.100000000000001" customHeight="1">
      <c r="A454" s="303"/>
      <c r="B454" s="13"/>
      <c r="C454" s="26"/>
      <c r="D454" s="34"/>
      <c r="E454" s="35"/>
      <c r="F454" s="36"/>
      <c r="G454" s="283"/>
      <c r="H454" s="189">
        <f>H453/1000</f>
        <v>0.2</v>
      </c>
      <c r="I454" s="229" t="s">
        <v>15</v>
      </c>
      <c r="J454" s="191"/>
      <c r="K454" s="191"/>
    </row>
    <row r="455" spans="1:12" ht="20.100000000000001" customHeight="1">
      <c r="A455" s="330"/>
      <c r="B455" s="297"/>
      <c r="C455" s="391"/>
      <c r="D455" s="299"/>
      <c r="E455" s="295"/>
      <c r="F455" s="327"/>
      <c r="G455" s="331" t="s">
        <v>10</v>
      </c>
      <c r="H455" s="233">
        <v>0.2</v>
      </c>
      <c r="I455" s="234" t="s">
        <v>15</v>
      </c>
      <c r="J455" s="359">
        <v>79450</v>
      </c>
      <c r="K455" s="296">
        <f>J455*H455</f>
        <v>15890</v>
      </c>
    </row>
    <row r="456" spans="1:12" ht="49.5" customHeight="1">
      <c r="A456" s="231">
        <v>19</v>
      </c>
      <c r="B456" s="196" t="s">
        <v>2</v>
      </c>
      <c r="C456" s="24" t="s">
        <v>47</v>
      </c>
      <c r="D456" s="304"/>
      <c r="E456" s="305"/>
      <c r="F456" s="304"/>
      <c r="G456" s="305"/>
      <c r="H456" s="196"/>
      <c r="I456" s="229"/>
      <c r="J456" s="191"/>
      <c r="K456" s="191"/>
      <c r="L456" s="154">
        <v>85785</v>
      </c>
    </row>
    <row r="457" spans="1:12" ht="20.100000000000001" customHeight="1">
      <c r="A457" s="303"/>
      <c r="B457" s="294"/>
      <c r="C457" s="306" t="s">
        <v>55</v>
      </c>
      <c r="D457" s="307"/>
      <c r="E457" s="308"/>
      <c r="F457" s="309"/>
      <c r="G457" s="308"/>
      <c r="H457" s="310"/>
      <c r="I457" s="229"/>
      <c r="J457" s="191"/>
      <c r="K457" s="191"/>
    </row>
    <row r="458" spans="1:12" ht="20.100000000000001" customHeight="1">
      <c r="A458" s="303"/>
      <c r="B458" s="294"/>
      <c r="C458" s="25" t="s">
        <v>56</v>
      </c>
      <c r="D458" s="196" t="s">
        <v>57</v>
      </c>
      <c r="E458" s="308">
        <v>5</v>
      </c>
      <c r="F458" s="309"/>
      <c r="G458" s="308"/>
      <c r="H458" s="310">
        <f>E458*3*2</f>
        <v>30</v>
      </c>
      <c r="I458" s="229"/>
      <c r="J458" s="191"/>
      <c r="K458" s="191"/>
    </row>
    <row r="459" spans="1:12" ht="20.100000000000001" customHeight="1">
      <c r="A459" s="303"/>
      <c r="B459" s="294"/>
      <c r="C459" s="25" t="s">
        <v>17</v>
      </c>
      <c r="D459" s="307">
        <v>3</v>
      </c>
      <c r="E459" s="308">
        <v>5.7</v>
      </c>
      <c r="F459" s="392"/>
      <c r="G459" s="393"/>
      <c r="H459" s="319">
        <f>E459*D459</f>
        <v>17.100000000000001</v>
      </c>
      <c r="I459" s="229"/>
      <c r="J459" s="191"/>
      <c r="K459" s="191"/>
    </row>
    <row r="460" spans="1:12" ht="20.100000000000001" customHeight="1">
      <c r="A460" s="303"/>
      <c r="B460" s="311"/>
      <c r="C460" s="29"/>
      <c r="D460" s="36"/>
      <c r="E460" s="35"/>
      <c r="F460" s="936" t="s">
        <v>43</v>
      </c>
      <c r="G460" s="937"/>
      <c r="H460" s="313">
        <f>SUM(H458:H459)</f>
        <v>47.1</v>
      </c>
      <c r="I460" s="229"/>
      <c r="J460" s="191"/>
      <c r="K460" s="191"/>
    </row>
    <row r="461" spans="1:12" ht="20.100000000000001" customHeight="1">
      <c r="A461" s="303"/>
      <c r="B461" s="311"/>
      <c r="C461" s="25"/>
      <c r="D461" s="309"/>
      <c r="E461" s="308"/>
      <c r="F461" s="394"/>
      <c r="G461" s="395" t="s">
        <v>10</v>
      </c>
      <c r="H461" s="241">
        <f>ROUNDUP(H460,0)</f>
        <v>48</v>
      </c>
      <c r="I461" s="229" t="s">
        <v>3</v>
      </c>
      <c r="J461" s="191"/>
      <c r="K461" s="191"/>
    </row>
    <row r="462" spans="1:12" ht="20.100000000000001" customHeight="1">
      <c r="A462" s="303"/>
      <c r="B462" s="311"/>
      <c r="C462" s="25"/>
      <c r="D462" s="309"/>
      <c r="E462" s="941" t="s">
        <v>18</v>
      </c>
      <c r="F462" s="942"/>
      <c r="G462" s="889"/>
      <c r="H462" s="315">
        <f>H461*9.9</f>
        <v>475.20000000000005</v>
      </c>
      <c r="I462" s="229" t="s">
        <v>19</v>
      </c>
      <c r="J462" s="191"/>
      <c r="K462" s="191"/>
    </row>
    <row r="463" spans="1:12" ht="20.100000000000001" customHeight="1">
      <c r="A463" s="303"/>
      <c r="B463" s="302"/>
      <c r="C463" s="26" t="s">
        <v>58</v>
      </c>
      <c r="D463" s="310" t="s">
        <v>59</v>
      </c>
      <c r="E463" s="316">
        <v>5</v>
      </c>
      <c r="F463" s="310"/>
      <c r="G463" s="316"/>
      <c r="H463" s="310">
        <f>E463*3*5</f>
        <v>75</v>
      </c>
      <c r="I463" s="229"/>
      <c r="J463" s="191"/>
      <c r="K463" s="191"/>
    </row>
    <row r="464" spans="1:12" ht="20.100000000000001" customHeight="1">
      <c r="A464" s="303"/>
      <c r="B464" s="302"/>
      <c r="C464" s="26" t="s">
        <v>60</v>
      </c>
      <c r="D464" s="310" t="s">
        <v>61</v>
      </c>
      <c r="E464" s="316">
        <v>3.6</v>
      </c>
      <c r="F464" s="310"/>
      <c r="G464" s="316"/>
      <c r="H464" s="310">
        <f>E464*3*2</f>
        <v>21.6</v>
      </c>
      <c r="I464" s="229"/>
      <c r="J464" s="191"/>
      <c r="K464" s="191"/>
    </row>
    <row r="465" spans="1:11" ht="20.100000000000001" customHeight="1">
      <c r="A465" s="303"/>
      <c r="B465" s="302"/>
      <c r="C465" s="26" t="s">
        <v>62</v>
      </c>
      <c r="D465" s="310" t="s">
        <v>61</v>
      </c>
      <c r="E465" s="316">
        <v>0.4</v>
      </c>
      <c r="F465" s="310"/>
      <c r="G465" s="316"/>
      <c r="H465" s="310">
        <f>E465*3*2</f>
        <v>2.4000000000000004</v>
      </c>
      <c r="I465" s="229"/>
      <c r="J465" s="191"/>
      <c r="K465" s="191"/>
    </row>
    <row r="466" spans="1:11" ht="20.100000000000001" customHeight="1">
      <c r="A466" s="303"/>
      <c r="B466" s="302"/>
      <c r="C466" s="25" t="s">
        <v>63</v>
      </c>
      <c r="D466" s="310" t="s">
        <v>64</v>
      </c>
      <c r="E466" s="316">
        <v>8</v>
      </c>
      <c r="F466" s="317"/>
      <c r="G466" s="318"/>
      <c r="H466" s="319">
        <f>E466*4*2</f>
        <v>64</v>
      </c>
      <c r="I466" s="229"/>
      <c r="J466" s="191"/>
      <c r="K466" s="191"/>
    </row>
    <row r="467" spans="1:11" ht="20.100000000000001" customHeight="1">
      <c r="A467" s="303"/>
      <c r="B467" s="302"/>
      <c r="C467" s="320"/>
      <c r="D467" s="309"/>
      <c r="E467" s="308"/>
      <c r="F467" s="309"/>
      <c r="G467" s="314" t="s">
        <v>44</v>
      </c>
      <c r="H467" s="315">
        <f>SUM(H463:H466)</f>
        <v>163</v>
      </c>
      <c r="I467" s="229" t="s">
        <v>3</v>
      </c>
      <c r="J467" s="191"/>
      <c r="K467" s="191"/>
    </row>
    <row r="468" spans="1:11" ht="20.100000000000001" customHeight="1">
      <c r="A468" s="303"/>
      <c r="B468" s="13"/>
      <c r="C468" s="320"/>
      <c r="D468" s="309"/>
      <c r="E468" s="308"/>
      <c r="F468" s="309"/>
      <c r="G468" s="314" t="s">
        <v>10</v>
      </c>
      <c r="H468" s="189">
        <f>ROUNDUP(H467,0)</f>
        <v>163</v>
      </c>
      <c r="I468" s="229"/>
      <c r="J468" s="191"/>
      <c r="K468" s="191"/>
    </row>
    <row r="469" spans="1:11" ht="20.100000000000001" customHeight="1">
      <c r="A469" s="303"/>
      <c r="B469" s="13"/>
      <c r="C469" s="29"/>
      <c r="D469" s="36"/>
      <c r="E469" s="35"/>
      <c r="F469" s="321" t="s">
        <v>20</v>
      </c>
      <c r="G469" s="320"/>
      <c r="H469" s="315">
        <f>H468*6.19</f>
        <v>1008.97</v>
      </c>
      <c r="I469" s="229" t="s">
        <v>21</v>
      </c>
      <c r="J469" s="191"/>
      <c r="K469" s="191"/>
    </row>
    <row r="470" spans="1:11" ht="20.100000000000001" customHeight="1">
      <c r="A470" s="303"/>
      <c r="B470" s="13"/>
      <c r="C470" s="322" t="s">
        <v>45</v>
      </c>
      <c r="D470" s="34"/>
      <c r="E470" s="35"/>
      <c r="F470" s="36"/>
      <c r="G470" s="323"/>
      <c r="H470" s="193"/>
      <c r="I470" s="229"/>
      <c r="J470" s="191"/>
      <c r="K470" s="191"/>
    </row>
    <row r="471" spans="1:11" ht="20.100000000000001" customHeight="1">
      <c r="A471" s="303"/>
      <c r="B471" s="13"/>
      <c r="C471" s="29" t="s">
        <v>65</v>
      </c>
      <c r="D471" s="34" t="s">
        <v>32</v>
      </c>
      <c r="E471" s="35">
        <v>0.18</v>
      </c>
      <c r="F471" s="36">
        <v>0.18</v>
      </c>
      <c r="G471" s="323"/>
      <c r="H471" s="193">
        <f>2*9*E471*F471</f>
        <v>0.58319999999999994</v>
      </c>
      <c r="I471" s="185" t="s">
        <v>13</v>
      </c>
      <c r="J471" s="151"/>
      <c r="K471" s="151"/>
    </row>
    <row r="472" spans="1:11" ht="20.100000000000001" customHeight="1">
      <c r="A472" s="303"/>
      <c r="B472" s="13"/>
      <c r="C472" s="29" t="s">
        <v>66</v>
      </c>
      <c r="D472" s="34" t="s">
        <v>32</v>
      </c>
      <c r="E472" s="35">
        <v>0.18</v>
      </c>
      <c r="F472" s="36">
        <v>0.18</v>
      </c>
      <c r="G472" s="323"/>
      <c r="H472" s="193">
        <f>2*9*E472*F472</f>
        <v>0.58319999999999994</v>
      </c>
      <c r="I472" s="185" t="s">
        <v>13</v>
      </c>
      <c r="J472" s="151"/>
      <c r="K472" s="151"/>
    </row>
    <row r="473" spans="1:11" ht="20.100000000000001" customHeight="1">
      <c r="A473" s="303"/>
      <c r="B473" s="13"/>
      <c r="C473" s="26"/>
      <c r="D473" s="34"/>
      <c r="E473" s="35"/>
      <c r="F473" s="36"/>
      <c r="G473" s="314" t="s">
        <v>44</v>
      </c>
      <c r="H473" s="315">
        <f>SUM(H471:H472)</f>
        <v>1.1663999999999999</v>
      </c>
      <c r="I473" s="229" t="s">
        <v>13</v>
      </c>
      <c r="J473" s="191"/>
      <c r="K473" s="191"/>
    </row>
    <row r="474" spans="1:11" ht="20.100000000000001" customHeight="1">
      <c r="A474" s="303"/>
      <c r="B474" s="13"/>
      <c r="C474" s="26"/>
      <c r="D474" s="34"/>
      <c r="E474" s="35"/>
      <c r="F474" s="36"/>
      <c r="G474" s="308" t="s">
        <v>10</v>
      </c>
      <c r="H474" s="189">
        <f>ROUNDUP(H473,0)</f>
        <v>2</v>
      </c>
      <c r="I474" s="229"/>
      <c r="J474" s="191"/>
      <c r="K474" s="191"/>
    </row>
    <row r="475" spans="1:11" ht="20.100000000000001" customHeight="1">
      <c r="A475" s="303"/>
      <c r="B475" s="13"/>
      <c r="C475" s="29"/>
      <c r="D475" s="34"/>
      <c r="E475" s="320"/>
      <c r="F475" s="324" t="s">
        <v>22</v>
      </c>
      <c r="G475" s="283"/>
      <c r="H475" s="189">
        <f>H474*54.95</f>
        <v>109.9</v>
      </c>
      <c r="I475" s="229" t="s">
        <v>23</v>
      </c>
      <c r="J475" s="191"/>
      <c r="K475" s="191"/>
    </row>
    <row r="476" spans="1:11" ht="20.100000000000001" customHeight="1">
      <c r="A476" s="303"/>
      <c r="B476" s="13"/>
      <c r="C476" s="322" t="s">
        <v>27</v>
      </c>
      <c r="D476" s="34"/>
      <c r="E476" s="35"/>
      <c r="F476" s="36"/>
      <c r="G476" s="283"/>
      <c r="H476" s="189"/>
      <c r="I476" s="229"/>
      <c r="J476" s="191"/>
      <c r="K476" s="191"/>
    </row>
    <row r="477" spans="1:11" ht="20.100000000000001" customHeight="1">
      <c r="A477" s="303"/>
      <c r="B477" s="13"/>
      <c r="C477" s="29" t="s">
        <v>24</v>
      </c>
      <c r="D477" s="36"/>
      <c r="E477" s="35"/>
      <c r="F477" s="13"/>
      <c r="G477" s="325"/>
      <c r="H477" s="315"/>
      <c r="I477" s="229"/>
      <c r="J477" s="191"/>
      <c r="K477" s="191"/>
    </row>
    <row r="478" spans="1:11" ht="20.100000000000001" customHeight="1">
      <c r="A478" s="303"/>
      <c r="B478" s="13"/>
      <c r="C478" s="29" t="s">
        <v>67</v>
      </c>
      <c r="D478" s="34">
        <v>18</v>
      </c>
      <c r="E478" s="35">
        <v>0.18</v>
      </c>
      <c r="F478" s="36">
        <v>0.08</v>
      </c>
      <c r="G478" s="35"/>
      <c r="H478" s="193">
        <f>D478*E478*F478</f>
        <v>0.25919999999999999</v>
      </c>
      <c r="I478" s="185" t="s">
        <v>13</v>
      </c>
      <c r="J478" s="151"/>
      <c r="K478" s="151"/>
    </row>
    <row r="479" spans="1:11" ht="20.100000000000001" customHeight="1">
      <c r="A479" s="303"/>
      <c r="B479" s="13"/>
      <c r="C479" s="29"/>
      <c r="D479" s="34"/>
      <c r="E479" s="35"/>
      <c r="F479" s="36"/>
      <c r="G479" s="314" t="s">
        <v>44</v>
      </c>
      <c r="H479" s="315">
        <f>SUM(H478:H478)</f>
        <v>0.25919999999999999</v>
      </c>
      <c r="I479" s="229" t="s">
        <v>13</v>
      </c>
      <c r="J479" s="191"/>
      <c r="K479" s="191"/>
    </row>
    <row r="480" spans="1:11" ht="20.100000000000001" customHeight="1">
      <c r="A480" s="303"/>
      <c r="B480" s="13"/>
      <c r="C480" s="29"/>
      <c r="D480" s="34"/>
      <c r="E480" s="35"/>
      <c r="F480" s="36"/>
      <c r="G480" s="308" t="s">
        <v>10</v>
      </c>
      <c r="H480" s="189">
        <f>ROUNDUP(H479,0)</f>
        <v>1</v>
      </c>
      <c r="I480" s="229"/>
      <c r="J480" s="191"/>
      <c r="K480" s="191"/>
    </row>
    <row r="481" spans="1:11" ht="20.100000000000001" customHeight="1">
      <c r="A481" s="303"/>
      <c r="B481" s="13"/>
      <c r="C481" s="326"/>
      <c r="D481" s="327"/>
      <c r="E481" s="328"/>
      <c r="F481" s="329" t="s">
        <v>25</v>
      </c>
      <c r="G481" s="295"/>
      <c r="H481" s="233">
        <f>H480*54.86</f>
        <v>54.86</v>
      </c>
      <c r="I481" s="234" t="s">
        <v>26</v>
      </c>
      <c r="J481" s="191"/>
      <c r="K481" s="191"/>
    </row>
    <row r="482" spans="1:11" ht="20.100000000000001" customHeight="1">
      <c r="A482" s="303"/>
      <c r="B482" s="13"/>
      <c r="C482" s="322" t="s">
        <v>27</v>
      </c>
      <c r="D482" s="36"/>
      <c r="E482" s="35"/>
      <c r="F482" s="36"/>
      <c r="G482" s="283"/>
      <c r="H482" s="189"/>
      <c r="I482" s="185"/>
      <c r="J482" s="151"/>
      <c r="K482" s="151"/>
    </row>
    <row r="483" spans="1:11" ht="20.100000000000001" customHeight="1">
      <c r="A483" s="303"/>
      <c r="B483" s="13"/>
      <c r="C483" s="306" t="s">
        <v>68</v>
      </c>
      <c r="D483" s="36" t="s">
        <v>69</v>
      </c>
      <c r="E483" s="35">
        <v>0.1</v>
      </c>
      <c r="F483" s="36"/>
      <c r="G483" s="283"/>
      <c r="H483" s="193">
        <f>E483*2*9</f>
        <v>1.8</v>
      </c>
      <c r="I483" s="185" t="s">
        <v>46</v>
      </c>
      <c r="J483" s="151"/>
      <c r="K483" s="151"/>
    </row>
    <row r="484" spans="1:11" ht="20.100000000000001" customHeight="1">
      <c r="A484" s="303"/>
      <c r="B484" s="13"/>
      <c r="C484" s="25"/>
      <c r="D484" s="36"/>
      <c r="E484" s="35"/>
      <c r="F484" s="36"/>
      <c r="G484" s="314" t="s">
        <v>44</v>
      </c>
      <c r="H484" s="315">
        <f>SUM(H483)</f>
        <v>1.8</v>
      </c>
      <c r="I484" s="185"/>
      <c r="J484" s="151"/>
      <c r="K484" s="151"/>
    </row>
    <row r="485" spans="1:11" ht="20.100000000000001" customHeight="1">
      <c r="A485" s="303"/>
      <c r="B485" s="41"/>
      <c r="C485" s="29"/>
      <c r="D485" s="36"/>
      <c r="E485" s="35"/>
      <c r="F485" s="36"/>
      <c r="G485" s="283" t="s">
        <v>10</v>
      </c>
      <c r="H485" s="189">
        <f>ROUNDUP(H484,0)</f>
        <v>2</v>
      </c>
      <c r="I485" s="229" t="s">
        <v>3</v>
      </c>
      <c r="J485" s="191"/>
      <c r="K485" s="191"/>
    </row>
    <row r="486" spans="1:11" ht="20.100000000000001" customHeight="1">
      <c r="A486" s="303"/>
      <c r="B486" s="13"/>
      <c r="C486" s="29"/>
      <c r="D486" s="36"/>
      <c r="E486" s="320"/>
      <c r="F486" s="324" t="s">
        <v>28</v>
      </c>
      <c r="G486" s="283"/>
      <c r="H486" s="189">
        <f>H485*5.8</f>
        <v>11.6</v>
      </c>
      <c r="I486" s="229" t="s">
        <v>29</v>
      </c>
      <c r="J486" s="191"/>
      <c r="K486" s="191"/>
    </row>
    <row r="487" spans="1:11" ht="20.100000000000001" customHeight="1">
      <c r="A487" s="303"/>
      <c r="B487" s="13"/>
      <c r="C487" s="29"/>
      <c r="D487" s="36"/>
      <c r="E487" s="35"/>
      <c r="F487" s="36" t="s">
        <v>30</v>
      </c>
      <c r="G487" s="283"/>
      <c r="H487" s="189">
        <f>H462+H469+H475+H481+H486</f>
        <v>1660.53</v>
      </c>
      <c r="I487" s="229" t="s">
        <v>14</v>
      </c>
      <c r="J487" s="191"/>
      <c r="K487" s="191"/>
    </row>
    <row r="488" spans="1:11" ht="20.100000000000001" customHeight="1">
      <c r="A488" s="303"/>
      <c r="B488" s="13"/>
      <c r="C488" s="29"/>
      <c r="D488" s="36"/>
      <c r="E488" s="35" t="s">
        <v>70</v>
      </c>
      <c r="F488" s="36"/>
      <c r="G488" s="283"/>
      <c r="H488" s="189">
        <f>H487*5%</f>
        <v>83.026499999999999</v>
      </c>
      <c r="I488" s="229" t="s">
        <v>14</v>
      </c>
      <c r="J488" s="191"/>
      <c r="K488" s="191"/>
    </row>
    <row r="489" spans="1:11" ht="20.100000000000001" customHeight="1">
      <c r="A489" s="303"/>
      <c r="B489" s="302"/>
      <c r="C489" s="29"/>
      <c r="D489" s="36"/>
      <c r="E489" s="35"/>
      <c r="F489" s="36"/>
      <c r="G489" s="283"/>
      <c r="H489" s="189">
        <f>H488+H487</f>
        <v>1743.5564999999999</v>
      </c>
      <c r="I489" s="229" t="s">
        <v>14</v>
      </c>
      <c r="J489" s="191"/>
      <c r="K489" s="191"/>
    </row>
    <row r="490" spans="1:11" ht="20.100000000000001" customHeight="1">
      <c r="A490" s="397"/>
      <c r="B490" s="320"/>
      <c r="C490" s="396"/>
      <c r="D490" s="36"/>
      <c r="E490" s="35"/>
      <c r="F490" s="36"/>
      <c r="G490" s="283"/>
      <c r="H490" s="189">
        <f>H489/1000</f>
        <v>1.7435565</v>
      </c>
      <c r="I490" s="229" t="s">
        <v>15</v>
      </c>
      <c r="J490" s="191"/>
      <c r="K490" s="191"/>
    </row>
    <row r="491" spans="1:11" ht="20.100000000000001" customHeight="1">
      <c r="A491" s="279"/>
      <c r="B491" s="107"/>
      <c r="C491" s="326"/>
      <c r="D491" s="327"/>
      <c r="E491" s="295"/>
      <c r="F491" s="327"/>
      <c r="G491" s="331" t="s">
        <v>10</v>
      </c>
      <c r="H491" s="233">
        <v>1.8</v>
      </c>
      <c r="I491" s="234" t="s">
        <v>15</v>
      </c>
      <c r="J491" s="398">
        <v>85785</v>
      </c>
      <c r="K491" s="296">
        <f>J491*H491</f>
        <v>154413</v>
      </c>
    </row>
    <row r="492" spans="1:11" ht="20.100000000000001" customHeight="1">
      <c r="A492" s="228"/>
      <c r="B492" s="41"/>
      <c r="C492" s="322"/>
      <c r="D492" s="13"/>
      <c r="E492" s="320"/>
      <c r="F492" s="13"/>
      <c r="G492" s="320"/>
      <c r="H492" s="332"/>
      <c r="I492" s="229"/>
      <c r="J492" s="191"/>
      <c r="K492" s="191"/>
    </row>
    <row r="493" spans="1:11" ht="258" customHeight="1">
      <c r="A493" s="231">
        <v>20</v>
      </c>
      <c r="B493" s="39" t="s">
        <v>342</v>
      </c>
      <c r="C493" s="24" t="s">
        <v>33</v>
      </c>
      <c r="D493" s="13"/>
      <c r="E493" s="320"/>
      <c r="F493" s="13"/>
      <c r="G493" s="320"/>
      <c r="H493" s="332"/>
      <c r="I493" s="228"/>
      <c r="J493" s="333"/>
      <c r="K493" s="333"/>
    </row>
    <row r="494" spans="1:11">
      <c r="A494" s="266"/>
      <c r="B494" s="13"/>
      <c r="C494" s="306" t="s">
        <v>388</v>
      </c>
      <c r="D494" s="34"/>
      <c r="E494" s="35"/>
      <c r="F494" s="13"/>
      <c r="G494" s="35"/>
      <c r="H494" s="193"/>
      <c r="I494" s="228"/>
      <c r="J494" s="333"/>
      <c r="K494" s="333"/>
    </row>
    <row r="495" spans="1:11">
      <c r="A495" s="266"/>
      <c r="B495" s="13"/>
      <c r="C495" s="26" t="s">
        <v>71</v>
      </c>
      <c r="D495" s="34">
        <v>2</v>
      </c>
      <c r="E495" s="35">
        <v>8</v>
      </c>
      <c r="F495" s="13"/>
      <c r="G495" s="35">
        <v>3.6</v>
      </c>
      <c r="H495" s="193">
        <f>G495*E495*D495</f>
        <v>57.6</v>
      </c>
      <c r="I495" s="185" t="s">
        <v>9</v>
      </c>
      <c r="J495" s="227"/>
      <c r="K495" s="151"/>
    </row>
    <row r="496" spans="1:11">
      <c r="A496" s="266"/>
      <c r="B496" s="13"/>
      <c r="C496" s="25" t="s">
        <v>341</v>
      </c>
      <c r="D496" s="34">
        <v>2</v>
      </c>
      <c r="E496" s="35">
        <v>8</v>
      </c>
      <c r="F496" s="36"/>
      <c r="G496" s="295">
        <v>0.5</v>
      </c>
      <c r="H496" s="193">
        <f>G496*E496*D496</f>
        <v>8</v>
      </c>
      <c r="I496" s="228"/>
      <c r="J496" s="333"/>
      <c r="K496" s="333"/>
    </row>
    <row r="497" spans="1:12">
      <c r="A497" s="266"/>
      <c r="B497" s="302"/>
      <c r="C497" s="29"/>
      <c r="D497" s="34"/>
      <c r="E497" s="35"/>
      <c r="F497" s="36"/>
      <c r="G497" s="283" t="s">
        <v>43</v>
      </c>
      <c r="H497" s="189">
        <f>SUM(H494:H496)</f>
        <v>65.599999999999994</v>
      </c>
      <c r="I497" s="229" t="s">
        <v>9</v>
      </c>
      <c r="J497" s="191"/>
      <c r="K497" s="191"/>
    </row>
    <row r="498" spans="1:12">
      <c r="A498" s="334"/>
      <c r="B498" s="297"/>
      <c r="C498" s="328"/>
      <c r="D498" s="299"/>
      <c r="E498" s="295"/>
      <c r="F498" s="327"/>
      <c r="G498" s="301" t="s">
        <v>10</v>
      </c>
      <c r="H498" s="233">
        <f>ROUNDUP(H497,0)</f>
        <v>66</v>
      </c>
      <c r="I498" s="234" t="s">
        <v>9</v>
      </c>
      <c r="J498" s="351">
        <v>796</v>
      </c>
      <c r="K498" s="351">
        <f>J498*H498</f>
        <v>52536</v>
      </c>
    </row>
    <row r="499" spans="1:12">
      <c r="A499" s="400"/>
      <c r="B499" s="401"/>
      <c r="C499" s="402"/>
      <c r="D499" s="171"/>
      <c r="E499" s="399"/>
      <c r="F499" s="403"/>
      <c r="G499" s="404"/>
      <c r="H499" s="190"/>
      <c r="I499" s="190"/>
      <c r="J499" s="405"/>
      <c r="K499" s="199"/>
    </row>
    <row r="500" spans="1:12" ht="90">
      <c r="A500" s="908">
        <v>21</v>
      </c>
      <c r="B500" s="39" t="s">
        <v>4</v>
      </c>
      <c r="C500" s="31" t="s">
        <v>49</v>
      </c>
      <c r="D500" s="943"/>
      <c r="E500" s="944"/>
      <c r="F500" s="944"/>
      <c r="G500" s="35"/>
      <c r="H500" s="193"/>
      <c r="I500" s="185"/>
      <c r="J500" s="151" t="s">
        <v>281</v>
      </c>
      <c r="K500" s="151"/>
      <c r="L500" s="154"/>
    </row>
    <row r="501" spans="1:12">
      <c r="A501" s="909"/>
      <c r="B501" s="103"/>
      <c r="C501" s="326" t="s">
        <v>68</v>
      </c>
      <c r="D501" s="299">
        <v>2</v>
      </c>
      <c r="E501" s="295">
        <v>8</v>
      </c>
      <c r="F501" s="327"/>
      <c r="G501" s="295"/>
      <c r="H501" s="275">
        <f>E501*D501</f>
        <v>16</v>
      </c>
      <c r="I501" s="275" t="s">
        <v>3</v>
      </c>
      <c r="J501" s="351">
        <v>750</v>
      </c>
      <c r="K501" s="351">
        <f>J501*H501</f>
        <v>12000</v>
      </c>
    </row>
    <row r="502" spans="1:12">
      <c r="A502" s="303"/>
      <c r="B502" s="39"/>
      <c r="C502" s="31"/>
      <c r="D502" s="171"/>
      <c r="E502" s="172"/>
      <c r="F502" s="172"/>
      <c r="G502" s="283"/>
      <c r="H502" s="189"/>
      <c r="I502" s="229"/>
      <c r="J502" s="191"/>
      <c r="K502" s="191"/>
    </row>
    <row r="503" spans="1:12" ht="102.75" customHeight="1">
      <c r="A503" s="908">
        <v>22</v>
      </c>
      <c r="B503" s="915" t="s">
        <v>345</v>
      </c>
      <c r="C503" s="177" t="s">
        <v>343</v>
      </c>
      <c r="D503" s="171"/>
      <c r="E503" s="399"/>
      <c r="F503" s="399"/>
      <c r="G503" s="283"/>
      <c r="H503" s="189"/>
      <c r="I503" s="229"/>
      <c r="J503" s="191"/>
      <c r="K503" s="191"/>
    </row>
    <row r="504" spans="1:12" ht="30">
      <c r="A504" s="908"/>
      <c r="B504" s="915"/>
      <c r="C504" s="31" t="s">
        <v>344</v>
      </c>
      <c r="D504" s="938" t="s">
        <v>386</v>
      </c>
      <c r="E504" s="939"/>
      <c r="F504" s="939"/>
      <c r="G504" s="940"/>
      <c r="H504" s="233">
        <v>500</v>
      </c>
      <c r="I504" s="234" t="s">
        <v>3</v>
      </c>
      <c r="J504" s="282">
        <v>21</v>
      </c>
      <c r="K504" s="296">
        <f>J504*H504</f>
        <v>10500</v>
      </c>
    </row>
    <row r="505" spans="1:12" ht="15.75">
      <c r="A505" s="909"/>
      <c r="B505" s="930"/>
      <c r="C505" s="32"/>
      <c r="D505" s="335"/>
      <c r="E505" s="336"/>
      <c r="F505" s="337"/>
      <c r="G505" s="43"/>
      <c r="H505" s="406"/>
      <c r="I505" s="407"/>
      <c r="J505" s="408"/>
      <c r="K505" s="408"/>
    </row>
    <row r="506" spans="1:12" ht="105">
      <c r="A506" s="908">
        <v>23</v>
      </c>
      <c r="B506" s="915" t="s">
        <v>16</v>
      </c>
      <c r="C506" s="31" t="s">
        <v>48</v>
      </c>
      <c r="D506" s="34"/>
      <c r="E506" s="35"/>
      <c r="F506" s="36"/>
      <c r="G506" s="35"/>
      <c r="H506" s="193"/>
      <c r="I506" s="229"/>
      <c r="J506" s="191"/>
      <c r="K506" s="191"/>
    </row>
    <row r="507" spans="1:12" ht="45">
      <c r="A507" s="908"/>
      <c r="B507" s="915"/>
      <c r="C507" s="338" t="s">
        <v>245</v>
      </c>
      <c r="D507" s="34"/>
      <c r="E507" s="35"/>
      <c r="F507" s="36"/>
      <c r="G507" s="320"/>
      <c r="H507" s="332"/>
      <c r="I507" s="228"/>
      <c r="J507" s="333"/>
      <c r="K507" s="333"/>
    </row>
    <row r="508" spans="1:12" ht="16.5" customHeight="1">
      <c r="A508" s="908"/>
      <c r="B508" s="915"/>
      <c r="C508" s="306" t="s">
        <v>268</v>
      </c>
      <c r="D508" s="34"/>
      <c r="E508" s="35"/>
      <c r="F508" s="36"/>
      <c r="G508" s="35"/>
      <c r="H508" s="193"/>
      <c r="I508" s="229"/>
      <c r="J508" s="191"/>
      <c r="K508" s="191"/>
      <c r="L508" s="154"/>
    </row>
    <row r="509" spans="1:12" ht="16.5" customHeight="1">
      <c r="A509" s="908"/>
      <c r="B509" s="915"/>
      <c r="C509" s="26"/>
      <c r="D509" s="34">
        <v>100</v>
      </c>
      <c r="E509" s="35">
        <v>5</v>
      </c>
      <c r="F509" s="36"/>
      <c r="G509" s="35"/>
      <c r="H509" s="193">
        <f>E509*D509</f>
        <v>500</v>
      </c>
      <c r="I509" s="185" t="s">
        <v>3</v>
      </c>
      <c r="J509" s="151"/>
      <c r="K509" s="151"/>
    </row>
    <row r="510" spans="1:12" ht="16.5" customHeight="1">
      <c r="A510" s="908"/>
      <c r="B510" s="915"/>
      <c r="C510" s="25"/>
      <c r="D510" s="34"/>
      <c r="E510" s="35"/>
      <c r="F510" s="36"/>
      <c r="G510" s="295"/>
      <c r="H510" s="210"/>
      <c r="I510" s="275"/>
      <c r="J510" s="151"/>
      <c r="K510" s="151"/>
    </row>
    <row r="511" spans="1:12">
      <c r="A511" s="908"/>
      <c r="B511" s="915"/>
      <c r="C511" s="320"/>
      <c r="D511" s="34"/>
      <c r="E511" s="35"/>
      <c r="F511" s="36"/>
      <c r="G511" s="283" t="s">
        <v>43</v>
      </c>
      <c r="H511" s="189">
        <f>SUM(H508:H510)</f>
        <v>500</v>
      </c>
      <c r="I511" s="229" t="s">
        <v>3</v>
      </c>
      <c r="J511" s="191"/>
      <c r="K511" s="191"/>
    </row>
    <row r="512" spans="1:12" ht="16.5" customHeight="1">
      <c r="A512" s="908"/>
      <c r="B512" s="915"/>
      <c r="C512" s="31"/>
      <c r="D512" s="34"/>
      <c r="E512" s="35"/>
      <c r="F512" s="36"/>
      <c r="G512" s="283" t="s">
        <v>10</v>
      </c>
      <c r="H512" s="189">
        <f>ROUNDUP(H511,0)</f>
        <v>500</v>
      </c>
      <c r="I512" s="229" t="s">
        <v>3</v>
      </c>
      <c r="J512" s="191">
        <v>290</v>
      </c>
      <c r="K512" s="219">
        <f>J512*H512</f>
        <v>145000</v>
      </c>
    </row>
    <row r="513" spans="1:11" ht="16.5" customHeight="1">
      <c r="A513" s="231"/>
      <c r="B513" s="39"/>
      <c r="C513" s="31"/>
      <c r="D513" s="34"/>
      <c r="E513" s="35"/>
      <c r="F513" s="36"/>
      <c r="G513" s="283"/>
      <c r="H513" s="189"/>
      <c r="I513" s="229"/>
      <c r="J513" s="191"/>
      <c r="K513" s="219"/>
    </row>
    <row r="514" spans="1:11" ht="16.5" customHeight="1">
      <c r="A514" s="231"/>
      <c r="B514" s="39"/>
      <c r="C514" s="31"/>
      <c r="D514" s="34"/>
      <c r="E514" s="35"/>
      <c r="F514" s="36"/>
      <c r="G514" s="283"/>
      <c r="H514" s="189"/>
      <c r="I514" s="229"/>
      <c r="J514" s="191"/>
      <c r="K514" s="219"/>
    </row>
    <row r="515" spans="1:11" ht="99" customHeight="1">
      <c r="A515" s="231"/>
      <c r="B515" s="39" t="s">
        <v>347</v>
      </c>
      <c r="C515" s="30" t="s">
        <v>348</v>
      </c>
      <c r="D515" s="207"/>
      <c r="E515" s="35"/>
      <c r="F515" s="36"/>
      <c r="G515" s="283"/>
      <c r="H515" s="189"/>
      <c r="I515" s="229"/>
      <c r="J515" s="227"/>
      <c r="K515" s="227"/>
    </row>
    <row r="516" spans="1:11" ht="16.5" customHeight="1">
      <c r="A516" s="231"/>
      <c r="B516" s="39"/>
      <c r="C516" s="31" t="s">
        <v>288</v>
      </c>
      <c r="D516" s="34"/>
      <c r="E516" s="35"/>
      <c r="F516" s="36"/>
      <c r="G516" s="283"/>
      <c r="H516" s="189"/>
      <c r="I516" s="229"/>
      <c r="J516" s="191"/>
      <c r="K516" s="219"/>
    </row>
    <row r="517" spans="1:11" ht="16.5" customHeight="1">
      <c r="A517" s="231"/>
      <c r="B517" s="39"/>
      <c r="C517" s="31" t="s">
        <v>349</v>
      </c>
      <c r="D517" s="34"/>
      <c r="E517" s="35"/>
      <c r="F517" s="36"/>
      <c r="G517" s="283"/>
      <c r="H517" s="189"/>
      <c r="I517" s="229"/>
      <c r="J517" s="191"/>
      <c r="K517" s="219"/>
    </row>
    <row r="518" spans="1:11" ht="16.5" customHeight="1">
      <c r="A518" s="231"/>
      <c r="B518" s="39"/>
      <c r="C518" s="31" t="s">
        <v>361</v>
      </c>
      <c r="D518" s="34">
        <v>8</v>
      </c>
      <c r="E518" s="35">
        <v>1.9</v>
      </c>
      <c r="F518" s="205">
        <v>1.07</v>
      </c>
      <c r="G518" s="283"/>
      <c r="H518" s="189">
        <f>F518*E518*D518</f>
        <v>16.263999999999999</v>
      </c>
      <c r="I518" s="234" t="s">
        <v>368</v>
      </c>
      <c r="J518" s="191"/>
      <c r="K518" s="219"/>
    </row>
    <row r="519" spans="1:11" ht="16.5" customHeight="1">
      <c r="A519" s="231"/>
      <c r="B519" s="39"/>
      <c r="C519" s="31" t="s">
        <v>362</v>
      </c>
      <c r="D519" s="34">
        <v>8</v>
      </c>
      <c r="E519" s="35">
        <v>1.08</v>
      </c>
      <c r="F519" s="205">
        <v>0.95</v>
      </c>
      <c r="G519" s="283"/>
      <c r="H519" s="189">
        <f t="shared" ref="H519:H521" si="13">F519*E519*D519</f>
        <v>8.2080000000000002</v>
      </c>
      <c r="I519" s="234" t="s">
        <v>368</v>
      </c>
      <c r="J519" s="191"/>
      <c r="K519" s="219"/>
    </row>
    <row r="520" spans="1:11" ht="16.5" customHeight="1">
      <c r="A520" s="231"/>
      <c r="B520" s="39"/>
      <c r="C520" s="31" t="s">
        <v>363</v>
      </c>
      <c r="D520" s="34">
        <v>12</v>
      </c>
      <c r="E520" s="35">
        <v>1.22</v>
      </c>
      <c r="F520" s="205">
        <v>1.22</v>
      </c>
      <c r="G520" s="283"/>
      <c r="H520" s="189">
        <f t="shared" si="13"/>
        <v>17.860799999999998</v>
      </c>
      <c r="I520" s="234" t="s">
        <v>368</v>
      </c>
      <c r="J520" s="191"/>
      <c r="K520" s="219"/>
    </row>
    <row r="521" spans="1:11" ht="16.5" customHeight="1">
      <c r="A521" s="231"/>
      <c r="B521" s="39"/>
      <c r="C521" s="31" t="s">
        <v>364</v>
      </c>
      <c r="D521" s="34">
        <v>12</v>
      </c>
      <c r="E521" s="35">
        <v>0.95</v>
      </c>
      <c r="F521" s="205">
        <v>1.22</v>
      </c>
      <c r="G521" s="283"/>
      <c r="H521" s="189">
        <f t="shared" si="13"/>
        <v>13.908000000000001</v>
      </c>
      <c r="I521" s="234" t="s">
        <v>368</v>
      </c>
      <c r="J521" s="191"/>
      <c r="K521" s="219"/>
    </row>
    <row r="522" spans="1:11" ht="16.5" customHeight="1">
      <c r="A522" s="231"/>
      <c r="B522" s="39"/>
      <c r="C522" s="31"/>
      <c r="D522" s="34"/>
      <c r="E522" s="35"/>
      <c r="F522" s="339"/>
      <c r="G522" s="283" t="s">
        <v>43</v>
      </c>
      <c r="H522" s="189">
        <f>SUM(H518:H521)</f>
        <v>56.2408</v>
      </c>
      <c r="I522" s="234" t="s">
        <v>368</v>
      </c>
      <c r="J522" s="191"/>
      <c r="K522" s="219"/>
    </row>
    <row r="523" spans="1:11" ht="16.5" customHeight="1">
      <c r="A523" s="231"/>
      <c r="B523" s="39"/>
      <c r="C523" s="31"/>
      <c r="D523" s="34"/>
      <c r="E523" s="35"/>
      <c r="F523" s="339"/>
      <c r="G523" s="283" t="s">
        <v>10</v>
      </c>
      <c r="H523" s="189">
        <f>ROUNDUP(H522,0)</f>
        <v>57</v>
      </c>
      <c r="I523" s="234" t="s">
        <v>368</v>
      </c>
      <c r="J523" s="276">
        <v>919</v>
      </c>
      <c r="K523" s="219">
        <f>J523*H523</f>
        <v>52383</v>
      </c>
    </row>
    <row r="524" spans="1:11" ht="16.5" customHeight="1">
      <c r="A524" s="231"/>
      <c r="B524" s="39"/>
      <c r="C524" s="31"/>
      <c r="D524" s="34"/>
      <c r="E524" s="35"/>
      <c r="F524" s="36"/>
      <c r="G524" s="283"/>
      <c r="H524" s="189"/>
      <c r="I524" s="229"/>
      <c r="J524" s="191"/>
      <c r="K524" s="219"/>
    </row>
    <row r="525" spans="1:11" ht="105">
      <c r="A525" s="231"/>
      <c r="B525" s="39" t="s">
        <v>350</v>
      </c>
      <c r="C525" s="31" t="s">
        <v>351</v>
      </c>
      <c r="D525" s="207">
        <v>20</v>
      </c>
      <c r="E525" s="35"/>
      <c r="F525" s="36"/>
      <c r="G525" s="283"/>
      <c r="H525" s="189"/>
      <c r="I525" s="229"/>
      <c r="J525" s="276">
        <v>1575</v>
      </c>
      <c r="K525" s="219">
        <f>J525*D525</f>
        <v>31500</v>
      </c>
    </row>
    <row r="526" spans="1:11" ht="16.5" customHeight="1">
      <c r="A526" s="231"/>
      <c r="B526" s="39"/>
      <c r="C526" s="31" t="s">
        <v>288</v>
      </c>
      <c r="D526" s="34"/>
      <c r="E526" s="35"/>
      <c r="F526" s="36"/>
      <c r="G526" s="283"/>
      <c r="H526" s="189"/>
      <c r="I526" s="229"/>
      <c r="J526" s="191"/>
      <c r="K526" s="219"/>
    </row>
    <row r="527" spans="1:11" ht="16.5" customHeight="1">
      <c r="A527" s="231"/>
      <c r="B527" s="39"/>
      <c r="C527" s="31"/>
      <c r="D527" s="34"/>
      <c r="E527" s="35"/>
      <c r="F527" s="36"/>
      <c r="G527" s="283"/>
      <c r="H527" s="189"/>
      <c r="I527" s="229"/>
      <c r="J527" s="191"/>
      <c r="K527" s="219"/>
    </row>
    <row r="528" spans="1:11" ht="93.75" customHeight="1">
      <c r="A528" s="231"/>
      <c r="B528" s="39" t="s">
        <v>353</v>
      </c>
      <c r="C528" s="31" t="s">
        <v>352</v>
      </c>
      <c r="D528" s="34"/>
      <c r="E528" s="35"/>
      <c r="F528" s="36"/>
      <c r="G528" s="283"/>
      <c r="H528" s="189"/>
      <c r="I528" s="229"/>
      <c r="J528" s="191"/>
      <c r="K528" s="219"/>
    </row>
    <row r="529" spans="1:11" ht="16.5" customHeight="1">
      <c r="A529" s="231"/>
      <c r="B529" s="39"/>
      <c r="C529" s="31" t="s">
        <v>288</v>
      </c>
      <c r="D529" s="34"/>
      <c r="E529" s="35"/>
      <c r="F529" s="36"/>
      <c r="G529" s="283"/>
      <c r="H529" s="189"/>
      <c r="I529" s="229"/>
      <c r="J529" s="191"/>
      <c r="K529" s="219"/>
    </row>
    <row r="530" spans="1:11" ht="16.5" customHeight="1">
      <c r="A530" s="231"/>
      <c r="B530" s="39"/>
      <c r="C530" s="31" t="s">
        <v>354</v>
      </c>
      <c r="D530" s="34">
        <v>20</v>
      </c>
      <c r="E530" s="35"/>
      <c r="F530" s="36"/>
      <c r="G530" s="283"/>
      <c r="H530" s="189"/>
      <c r="I530" s="229"/>
      <c r="J530" s="191">
        <v>2625</v>
      </c>
      <c r="K530" s="219">
        <f>J530*D530</f>
        <v>52500</v>
      </c>
    </row>
    <row r="531" spans="1:11" ht="16.5" customHeight="1">
      <c r="A531" s="231"/>
      <c r="B531" s="39"/>
      <c r="C531" s="31"/>
      <c r="D531" s="34"/>
      <c r="E531" s="35"/>
      <c r="F531" s="36"/>
      <c r="G531" s="283"/>
      <c r="H531" s="189"/>
      <c r="I531" s="229"/>
      <c r="J531" s="191"/>
      <c r="K531" s="219"/>
    </row>
    <row r="532" spans="1:11" ht="16.5" customHeight="1">
      <c r="A532" s="231"/>
      <c r="B532" s="39"/>
      <c r="C532" s="31"/>
      <c r="D532" s="34"/>
      <c r="E532" s="35"/>
      <c r="F532" s="36"/>
      <c r="G532" s="283"/>
      <c r="H532" s="189"/>
      <c r="I532" s="229"/>
      <c r="J532" s="191"/>
      <c r="K532" s="219"/>
    </row>
    <row r="533" spans="1:11" ht="16.5" customHeight="1">
      <c r="A533" s="231"/>
      <c r="B533" s="39"/>
      <c r="C533" s="31"/>
      <c r="D533" s="34"/>
      <c r="E533" s="35"/>
      <c r="F533" s="36"/>
      <c r="G533" s="283"/>
      <c r="H533" s="189"/>
      <c r="I533" s="229"/>
      <c r="J533" s="191"/>
      <c r="K533" s="219"/>
    </row>
    <row r="534" spans="1:11" ht="79.5" customHeight="1">
      <c r="A534" s="231"/>
      <c r="B534" s="39" t="s">
        <v>355</v>
      </c>
      <c r="C534" s="31" t="s">
        <v>356</v>
      </c>
      <c r="D534" s="34"/>
      <c r="E534" s="35"/>
      <c r="F534" s="36"/>
      <c r="G534" s="283"/>
      <c r="H534" s="189"/>
      <c r="I534" s="229"/>
      <c r="J534" s="191"/>
      <c r="K534" s="219"/>
    </row>
    <row r="535" spans="1:11" ht="16.5" customHeight="1">
      <c r="A535" s="231"/>
      <c r="B535" s="39"/>
      <c r="C535" s="31" t="s">
        <v>288</v>
      </c>
      <c r="D535" s="34"/>
      <c r="E535" s="35"/>
      <c r="F535" s="36"/>
      <c r="G535" s="283"/>
      <c r="H535" s="189"/>
      <c r="I535" s="229"/>
      <c r="J535" s="191"/>
      <c r="K535" s="219"/>
    </row>
    <row r="536" spans="1:11" ht="16.5" customHeight="1">
      <c r="A536" s="231"/>
      <c r="B536" s="39"/>
      <c r="C536" s="31" t="s">
        <v>360</v>
      </c>
      <c r="D536" s="34">
        <v>20</v>
      </c>
      <c r="E536" s="35"/>
      <c r="F536" s="36"/>
      <c r="G536" s="283"/>
      <c r="H536" s="189"/>
      <c r="I536" s="229"/>
      <c r="J536" s="191">
        <v>4300</v>
      </c>
      <c r="K536" s="219">
        <f>J536*D536</f>
        <v>86000</v>
      </c>
    </row>
    <row r="537" spans="1:11" ht="16.5" customHeight="1">
      <c r="A537" s="231"/>
      <c r="B537" s="39"/>
      <c r="C537" s="31"/>
      <c r="D537" s="34"/>
      <c r="E537" s="35"/>
      <c r="F537" s="36"/>
      <c r="G537" s="283"/>
      <c r="H537" s="189"/>
      <c r="I537" s="229"/>
      <c r="J537" s="191"/>
      <c r="K537" s="219"/>
    </row>
    <row r="538" spans="1:11" ht="94.5" customHeight="1">
      <c r="A538" s="231"/>
      <c r="B538" s="39" t="s">
        <v>357</v>
      </c>
      <c r="C538" s="30" t="s">
        <v>358</v>
      </c>
      <c r="D538" s="34"/>
      <c r="E538" s="35"/>
      <c r="F538" s="36"/>
      <c r="G538" s="283"/>
      <c r="H538" s="189"/>
      <c r="I538" s="229"/>
      <c r="J538" s="191"/>
      <c r="K538" s="219"/>
    </row>
    <row r="539" spans="1:11" ht="16.5" customHeight="1">
      <c r="A539" s="231"/>
      <c r="B539" s="39"/>
      <c r="C539" s="31" t="s">
        <v>288</v>
      </c>
      <c r="D539" s="34"/>
      <c r="E539" s="35"/>
      <c r="F539" s="36"/>
      <c r="G539" s="283"/>
      <c r="H539" s="189"/>
      <c r="I539" s="229"/>
      <c r="J539" s="191"/>
      <c r="K539" s="219"/>
    </row>
    <row r="540" spans="1:11" ht="16.5" customHeight="1">
      <c r="A540" s="231"/>
      <c r="B540" s="39"/>
      <c r="C540" s="31" t="s">
        <v>359</v>
      </c>
      <c r="D540" s="34">
        <v>20</v>
      </c>
      <c r="E540" s="35"/>
      <c r="F540" s="36"/>
      <c r="G540" s="283"/>
      <c r="H540" s="189"/>
      <c r="I540" s="229"/>
      <c r="J540" s="191">
        <v>2375</v>
      </c>
      <c r="K540" s="219">
        <f>J540*D540</f>
        <v>47500</v>
      </c>
    </row>
    <row r="541" spans="1:11">
      <c r="A541" s="196"/>
      <c r="B541" s="302"/>
      <c r="C541" s="340"/>
      <c r="D541" s="34"/>
      <c r="E541" s="36"/>
      <c r="F541" s="36"/>
      <c r="G541" s="324"/>
      <c r="H541" s="233"/>
      <c r="I541" s="233"/>
      <c r="J541" s="411" t="s">
        <v>44</v>
      </c>
      <c r="K541" s="410">
        <f>SUM(K11:K540)</f>
        <v>4588724</v>
      </c>
    </row>
    <row r="542" spans="1:11" ht="15.75" customHeight="1">
      <c r="A542" s="245"/>
      <c r="B542" s="3"/>
      <c r="C542" s="341"/>
      <c r="D542" s="3"/>
      <c r="E542" s="3"/>
      <c r="F542" s="3"/>
      <c r="G542" s="3"/>
      <c r="H542" s="918" t="s">
        <v>278</v>
      </c>
      <c r="I542" s="918"/>
      <c r="J542" s="918"/>
      <c r="K542" s="410">
        <f>18%*K541</f>
        <v>825970.32</v>
      </c>
    </row>
    <row r="543" spans="1:11" ht="28.5" customHeight="1">
      <c r="A543" s="245"/>
      <c r="B543" s="3"/>
      <c r="C543" s="3"/>
      <c r="D543" s="3"/>
      <c r="E543" s="3"/>
      <c r="F543" s="3"/>
      <c r="G543" s="3"/>
      <c r="H543" s="342"/>
      <c r="I543" s="245"/>
      <c r="J543" s="343" t="s">
        <v>44</v>
      </c>
      <c r="K543" s="344">
        <f>SUM(K541:K542)</f>
        <v>5414694.3200000003</v>
      </c>
    </row>
    <row r="544" spans="1:11">
      <c r="H544" s="5"/>
    </row>
    <row r="545" spans="8:11">
      <c r="H545" s="5"/>
      <c r="I545" s="154"/>
      <c r="J545" s="8"/>
      <c r="K545" s="8"/>
    </row>
  </sheetData>
  <mergeCells count="89">
    <mergeCell ref="B503:B505"/>
    <mergeCell ref="B506:B512"/>
    <mergeCell ref="A506:A512"/>
    <mergeCell ref="B440:B441"/>
    <mergeCell ref="D440:G441"/>
    <mergeCell ref="F447:G447"/>
    <mergeCell ref="F460:G460"/>
    <mergeCell ref="D504:G504"/>
    <mergeCell ref="A440:A441"/>
    <mergeCell ref="A500:A501"/>
    <mergeCell ref="A503:A505"/>
    <mergeCell ref="E462:G462"/>
    <mergeCell ref="D500:F500"/>
    <mergeCell ref="D442:G442"/>
    <mergeCell ref="F453:G453"/>
    <mergeCell ref="H542:J542"/>
    <mergeCell ref="F297:G297"/>
    <mergeCell ref="F298:G298"/>
    <mergeCell ref="F325:G325"/>
    <mergeCell ref="C326:G326"/>
    <mergeCell ref="D330:G330"/>
    <mergeCell ref="F327:G327"/>
    <mergeCell ref="F377:G377"/>
    <mergeCell ref="F356:G356"/>
    <mergeCell ref="D339:G339"/>
    <mergeCell ref="F431:G431"/>
    <mergeCell ref="D435:G435"/>
    <mergeCell ref="F417:G417"/>
    <mergeCell ref="F402:G402"/>
    <mergeCell ref="C433:G433"/>
    <mergeCell ref="F424:G424"/>
    <mergeCell ref="B290:B305"/>
    <mergeCell ref="F305:G305"/>
    <mergeCell ref="C318:C319"/>
    <mergeCell ref="C322:C323"/>
    <mergeCell ref="F314:G314"/>
    <mergeCell ref="A1:I1"/>
    <mergeCell ref="A6:B6"/>
    <mergeCell ref="C6:I6"/>
    <mergeCell ref="C24:C25"/>
    <mergeCell ref="A3:B3"/>
    <mergeCell ref="C3:I3"/>
    <mergeCell ref="C14:C15"/>
    <mergeCell ref="C22:C23"/>
    <mergeCell ref="A10:A19"/>
    <mergeCell ref="A21:A64"/>
    <mergeCell ref="C11:C12"/>
    <mergeCell ref="F63:G63"/>
    <mergeCell ref="F19:G19"/>
    <mergeCell ref="F64:G64"/>
    <mergeCell ref="F87:G87"/>
    <mergeCell ref="N9:P9"/>
    <mergeCell ref="F18:G18"/>
    <mergeCell ref="F88:G88"/>
    <mergeCell ref="F147:G147"/>
    <mergeCell ref="F101:G101"/>
    <mergeCell ref="L102:O102"/>
    <mergeCell ref="E103:G103"/>
    <mergeCell ref="F102:G102"/>
    <mergeCell ref="N440:P440"/>
    <mergeCell ref="F278:G278"/>
    <mergeCell ref="F306:G306"/>
    <mergeCell ref="F309:G309"/>
    <mergeCell ref="D331:G332"/>
    <mergeCell ref="D334:G335"/>
    <mergeCell ref="D337:G338"/>
    <mergeCell ref="D350:G350"/>
    <mergeCell ref="D308:G308"/>
    <mergeCell ref="F315:G315"/>
    <mergeCell ref="D358:G358"/>
    <mergeCell ref="F347:G347"/>
    <mergeCell ref="D340:G340"/>
    <mergeCell ref="C287:G287"/>
    <mergeCell ref="D279:F279"/>
    <mergeCell ref="D282:G282"/>
    <mergeCell ref="C160:C161"/>
    <mergeCell ref="C110:C111"/>
    <mergeCell ref="C288:G288"/>
    <mergeCell ref="F229:G229"/>
    <mergeCell ref="C162:C163"/>
    <mergeCell ref="C286:G286"/>
    <mergeCell ref="D230:F230"/>
    <mergeCell ref="F182:G182"/>
    <mergeCell ref="F146:G146"/>
    <mergeCell ref="F183:G183"/>
    <mergeCell ref="E184:G184"/>
    <mergeCell ref="D283:G283"/>
    <mergeCell ref="D284:G284"/>
    <mergeCell ref="D280:G280"/>
  </mergeCells>
  <printOptions horizontalCentered="1" verticalCentered="1" gridLines="1"/>
  <pageMargins left="0.36" right="0.14000000000000001" top="0.52" bottom="0.51" header="0.25" footer="0.28000000000000003"/>
  <pageSetup paperSize="9" orientation="landscape" r:id="rId1"/>
  <headerFooter alignWithMargins="0"/>
</worksheet>
</file>

<file path=xl/worksheets/sheet4.xml><?xml version="1.0" encoding="utf-8"?>
<worksheet xmlns="http://schemas.openxmlformats.org/spreadsheetml/2006/main" xmlns:r="http://schemas.openxmlformats.org/officeDocument/2006/relationships">
  <dimension ref="A1:Q509"/>
  <sheetViews>
    <sheetView view="pageBreakPreview" topLeftCell="A438" zoomScaleNormal="70" zoomScaleSheetLayoutView="100" workbookViewId="0">
      <selection activeCell="K69" sqref="K69"/>
    </sheetView>
  </sheetViews>
  <sheetFormatPr defaultRowHeight="15"/>
  <cols>
    <col min="1" max="1" width="7.42578125" style="4" customWidth="1"/>
    <col min="2" max="2" width="13" bestFit="1" customWidth="1"/>
    <col min="3" max="3" width="29.7109375" customWidth="1"/>
    <col min="4" max="4" width="9.85546875" customWidth="1"/>
    <col min="5" max="5" width="10" customWidth="1"/>
    <col min="6" max="6" width="9.28515625" customWidth="1"/>
    <col min="7" max="7" width="8.85546875" bestFit="1" customWidth="1"/>
    <col min="8" max="8" width="12.140625" style="6" bestFit="1" customWidth="1"/>
    <col min="9" max="9" width="8.85546875" style="4" customWidth="1"/>
    <col min="10" max="10" width="12.140625" style="7" customWidth="1"/>
    <col min="11" max="11" width="13.7109375" style="7" bestFit="1" customWidth="1"/>
    <col min="12" max="12" width="59.85546875" customWidth="1"/>
  </cols>
  <sheetData>
    <row r="1" spans="1:16" ht="18.75" hidden="1" customHeight="1">
      <c r="A1" s="901" t="s">
        <v>7</v>
      </c>
      <c r="B1" s="902"/>
      <c r="C1" s="902"/>
      <c r="D1" s="902"/>
      <c r="E1" s="902"/>
      <c r="F1" s="902"/>
      <c r="G1" s="902"/>
      <c r="H1" s="902"/>
      <c r="I1" s="902"/>
      <c r="J1" s="165"/>
      <c r="K1" s="165"/>
    </row>
    <row r="2" spans="1:16" ht="18.75" customHeight="1">
      <c r="A2" s="164"/>
      <c r="B2" s="165"/>
      <c r="C2" s="165"/>
      <c r="D2" s="165"/>
      <c r="E2" s="165"/>
      <c r="F2" s="165"/>
      <c r="G2" s="165"/>
      <c r="H2" s="181"/>
      <c r="I2" s="181"/>
      <c r="J2" s="165"/>
      <c r="K2" s="165"/>
    </row>
    <row r="3" spans="1:16" ht="34.5" customHeight="1">
      <c r="A3" s="903" t="s">
        <v>34</v>
      </c>
      <c r="B3" s="904"/>
      <c r="C3" s="905" t="s">
        <v>258</v>
      </c>
      <c r="D3" s="905"/>
      <c r="E3" s="905"/>
      <c r="F3" s="905"/>
      <c r="G3" s="905"/>
      <c r="H3" s="905"/>
      <c r="I3" s="905"/>
      <c r="J3" s="166"/>
      <c r="K3" s="166"/>
    </row>
    <row r="4" spans="1:16" ht="18.75" customHeight="1">
      <c r="A4" s="164"/>
      <c r="B4" s="165"/>
      <c r="C4" s="165"/>
      <c r="D4" s="165"/>
      <c r="E4" s="165"/>
      <c r="F4" s="165"/>
      <c r="G4" s="165"/>
      <c r="H4" s="181"/>
      <c r="I4" s="181"/>
      <c r="J4" s="165"/>
      <c r="K4" s="165"/>
    </row>
    <row r="5" spans="1:16" ht="18.75" hidden="1" customHeight="1">
      <c r="A5" s="164"/>
      <c r="B5" s="165"/>
      <c r="C5" s="165"/>
      <c r="D5" s="165"/>
      <c r="E5" s="165"/>
      <c r="F5" s="165"/>
      <c r="G5" s="165"/>
      <c r="H5" s="181"/>
      <c r="I5" s="181"/>
      <c r="J5" s="165"/>
      <c r="K5" s="165"/>
    </row>
    <row r="6" spans="1:16" ht="36.75" hidden="1" customHeight="1">
      <c r="A6" s="903" t="s">
        <v>34</v>
      </c>
      <c r="B6" s="904"/>
      <c r="C6" s="905" t="s">
        <v>246</v>
      </c>
      <c r="D6" s="905"/>
      <c r="E6" s="905"/>
      <c r="F6" s="905"/>
      <c r="G6" s="905"/>
      <c r="H6" s="905"/>
      <c r="I6" s="905"/>
      <c r="J6" s="166"/>
      <c r="K6" s="166"/>
    </row>
    <row r="7" spans="1:16" ht="9.75" hidden="1" customHeight="1">
      <c r="A7" s="12"/>
      <c r="B7" s="13"/>
      <c r="C7" s="14"/>
      <c r="D7" s="14"/>
      <c r="E7" s="14"/>
      <c r="F7" s="14"/>
      <c r="G7" s="14"/>
      <c r="H7" s="182"/>
      <c r="I7" s="184"/>
      <c r="J7" s="14"/>
      <c r="K7" s="14"/>
    </row>
    <row r="8" spans="1:16" ht="12.75" hidden="1" customHeight="1">
      <c r="A8" s="15"/>
      <c r="B8" s="16"/>
      <c r="C8" s="17"/>
      <c r="D8" s="10"/>
      <c r="E8" s="10"/>
      <c r="F8" s="10"/>
      <c r="G8" s="10"/>
      <c r="H8" s="183"/>
      <c r="I8" s="40"/>
      <c r="J8" s="11"/>
      <c r="K8" s="11"/>
    </row>
    <row r="9" spans="1:16" ht="31.5">
      <c r="A9" s="18" t="s">
        <v>35</v>
      </c>
      <c r="B9" s="18" t="s">
        <v>36</v>
      </c>
      <c r="C9" s="19" t="s">
        <v>37</v>
      </c>
      <c r="D9" s="20" t="s">
        <v>38</v>
      </c>
      <c r="E9" s="21" t="s">
        <v>39</v>
      </c>
      <c r="F9" s="22" t="s">
        <v>40</v>
      </c>
      <c r="G9" s="21" t="s">
        <v>41</v>
      </c>
      <c r="H9" s="19" t="s">
        <v>42</v>
      </c>
      <c r="I9" s="18" t="s">
        <v>6</v>
      </c>
      <c r="J9" s="18" t="s">
        <v>261</v>
      </c>
      <c r="K9" s="18" t="s">
        <v>262</v>
      </c>
      <c r="L9" s="1"/>
      <c r="N9" s="887"/>
      <c r="O9" s="818"/>
      <c r="P9" s="818"/>
    </row>
    <row r="10" spans="1:16" ht="29.25" customHeight="1">
      <c r="A10" s="907">
        <v>1</v>
      </c>
      <c r="B10" s="39" t="s">
        <v>126</v>
      </c>
      <c r="C10" s="24" t="s">
        <v>125</v>
      </c>
      <c r="D10" s="186"/>
      <c r="E10" s="187"/>
      <c r="F10" s="36"/>
      <c r="G10" s="188"/>
      <c r="H10" s="189"/>
      <c r="I10" s="190"/>
      <c r="J10" s="191"/>
      <c r="K10" s="191"/>
      <c r="L10" s="1"/>
      <c r="N10" s="167"/>
      <c r="O10" s="162"/>
      <c r="P10" s="162"/>
    </row>
    <row r="11" spans="1:16" ht="15.75">
      <c r="A11" s="908"/>
      <c r="B11" s="41"/>
      <c r="C11" s="906" t="s">
        <v>259</v>
      </c>
      <c r="D11" s="192">
        <v>2</v>
      </c>
      <c r="E11" s="35">
        <v>16</v>
      </c>
      <c r="F11" s="36">
        <v>1.5</v>
      </c>
      <c r="G11" s="35">
        <v>0.5</v>
      </c>
      <c r="H11" s="193">
        <f t="shared" ref="H11:H16" si="0">D11*E11*F11*G11</f>
        <v>24</v>
      </c>
      <c r="I11" s="185" t="s">
        <v>365</v>
      </c>
      <c r="J11" s="151"/>
      <c r="K11" s="151"/>
      <c r="L11" s="1"/>
      <c r="N11" s="167"/>
      <c r="O11" s="162"/>
      <c r="P11" s="162"/>
    </row>
    <row r="12" spans="1:16" ht="15.75">
      <c r="A12" s="908"/>
      <c r="B12" s="41"/>
      <c r="C12" s="906"/>
      <c r="D12" s="192">
        <v>2</v>
      </c>
      <c r="E12" s="35">
        <v>15.5</v>
      </c>
      <c r="F12" s="36">
        <v>1.5</v>
      </c>
      <c r="G12" s="35">
        <v>0.5</v>
      </c>
      <c r="H12" s="193">
        <f t="shared" si="0"/>
        <v>23.25</v>
      </c>
      <c r="I12" s="185" t="s">
        <v>365</v>
      </c>
      <c r="J12" s="151"/>
      <c r="K12" s="151"/>
      <c r="L12" s="1"/>
      <c r="N12" s="167"/>
      <c r="O12" s="162"/>
      <c r="P12" s="162"/>
    </row>
    <row r="13" spans="1:16" ht="15.75">
      <c r="A13" s="908"/>
      <c r="B13" s="41"/>
      <c r="C13" s="163" t="s">
        <v>260</v>
      </c>
      <c r="D13" s="192">
        <v>2</v>
      </c>
      <c r="E13" s="35">
        <v>3</v>
      </c>
      <c r="F13" s="36">
        <v>1.5</v>
      </c>
      <c r="G13" s="35">
        <v>0.5</v>
      </c>
      <c r="H13" s="193">
        <f t="shared" si="0"/>
        <v>4.5</v>
      </c>
      <c r="I13" s="185" t="s">
        <v>365</v>
      </c>
      <c r="J13" s="151"/>
      <c r="K13" s="151"/>
      <c r="L13" s="1"/>
      <c r="N13" s="167"/>
      <c r="O13" s="162"/>
      <c r="P13" s="162"/>
    </row>
    <row r="14" spans="1:16" ht="15.75">
      <c r="A14" s="908"/>
      <c r="B14" s="41"/>
      <c r="C14" s="906" t="s">
        <v>132</v>
      </c>
      <c r="D14" s="192">
        <v>2</v>
      </c>
      <c r="E14" s="35">
        <v>21</v>
      </c>
      <c r="F14" s="36">
        <v>1.5</v>
      </c>
      <c r="G14" s="35">
        <v>0.5</v>
      </c>
      <c r="H14" s="193">
        <f t="shared" si="0"/>
        <v>31.5</v>
      </c>
      <c r="I14" s="185" t="s">
        <v>365</v>
      </c>
      <c r="J14" s="151"/>
      <c r="K14" s="151"/>
      <c r="L14" s="1"/>
      <c r="N14" s="167"/>
      <c r="O14" s="162"/>
      <c r="P14" s="162"/>
    </row>
    <row r="15" spans="1:16" ht="15.75">
      <c r="A15" s="908"/>
      <c r="B15" s="41"/>
      <c r="C15" s="906"/>
      <c r="D15" s="192">
        <v>2</v>
      </c>
      <c r="E15" s="35">
        <v>7.5</v>
      </c>
      <c r="F15" s="36">
        <v>1.5</v>
      </c>
      <c r="G15" s="35">
        <v>0.5</v>
      </c>
      <c r="H15" s="193">
        <f t="shared" si="0"/>
        <v>11.25</v>
      </c>
      <c r="I15" s="185" t="s">
        <v>365</v>
      </c>
      <c r="J15" s="151"/>
      <c r="K15" s="151"/>
      <c r="L15" s="1"/>
      <c r="N15" s="167"/>
      <c r="O15" s="162"/>
      <c r="P15" s="162"/>
    </row>
    <row r="16" spans="1:16" ht="15.75">
      <c r="A16" s="908"/>
      <c r="B16" s="41"/>
      <c r="C16" s="163" t="s">
        <v>260</v>
      </c>
      <c r="D16" s="192">
        <v>2</v>
      </c>
      <c r="E16" s="35">
        <v>3</v>
      </c>
      <c r="F16" s="36">
        <v>1.5</v>
      </c>
      <c r="G16" s="35">
        <v>0.5</v>
      </c>
      <c r="H16" s="193">
        <f t="shared" si="0"/>
        <v>4.5</v>
      </c>
      <c r="I16" s="185" t="s">
        <v>365</v>
      </c>
      <c r="J16" s="151"/>
      <c r="K16" s="151"/>
      <c r="L16" s="1"/>
      <c r="N16" s="167"/>
      <c r="O16" s="162"/>
      <c r="P16" s="162"/>
    </row>
    <row r="17" spans="1:16" ht="15.75">
      <c r="A17" s="908"/>
      <c r="B17" s="41"/>
      <c r="C17" s="30"/>
      <c r="D17" s="192"/>
      <c r="E17" s="35"/>
      <c r="F17" s="888" t="s">
        <v>43</v>
      </c>
      <c r="G17" s="889"/>
      <c r="H17" s="193">
        <f>SUM(H11:H16)</f>
        <v>99</v>
      </c>
      <c r="I17" s="185" t="s">
        <v>365</v>
      </c>
      <c r="J17" s="151"/>
      <c r="K17" s="151"/>
      <c r="L17" s="1"/>
      <c r="N17" s="167"/>
      <c r="O17" s="162"/>
      <c r="P17" s="162"/>
    </row>
    <row r="18" spans="1:16" ht="15.75">
      <c r="A18" s="908"/>
      <c r="B18" s="41"/>
      <c r="C18" s="30"/>
      <c r="D18" s="192"/>
      <c r="E18" s="35"/>
      <c r="F18" s="911" t="s">
        <v>10</v>
      </c>
      <c r="G18" s="912"/>
      <c r="H18" s="189">
        <f>ROUNDUP(H17,0)</f>
        <v>99</v>
      </c>
      <c r="I18" s="185" t="s">
        <v>365</v>
      </c>
      <c r="J18" s="151">
        <v>150</v>
      </c>
      <c r="K18" s="151">
        <f>J18*H18</f>
        <v>14850</v>
      </c>
      <c r="L18" s="1"/>
      <c r="N18" s="167"/>
      <c r="O18" s="162"/>
      <c r="P18" s="162"/>
    </row>
    <row r="19" spans="1:16" ht="75">
      <c r="A19" s="908">
        <v>2</v>
      </c>
      <c r="B19" s="39" t="s">
        <v>134</v>
      </c>
      <c r="C19" s="30" t="s">
        <v>135</v>
      </c>
      <c r="D19" s="34"/>
      <c r="E19" s="35"/>
      <c r="F19" s="204"/>
      <c r="G19" s="200"/>
      <c r="H19" s="193"/>
      <c r="I19" s="185"/>
      <c r="J19" s="151"/>
      <c r="K19" s="151"/>
      <c r="L19" s="1"/>
      <c r="N19" s="167"/>
      <c r="O19" s="162"/>
      <c r="P19" s="162"/>
    </row>
    <row r="20" spans="1:16" ht="15.75">
      <c r="A20" s="908"/>
      <c r="B20" s="39"/>
      <c r="C20" s="906" t="s">
        <v>259</v>
      </c>
      <c r="D20" s="34">
        <v>2</v>
      </c>
      <c r="E20" s="35">
        <v>16</v>
      </c>
      <c r="F20" s="36">
        <v>1.5</v>
      </c>
      <c r="G20" s="35"/>
      <c r="H20" s="193">
        <f>F20*E20*D20</f>
        <v>48</v>
      </c>
      <c r="I20" s="185" t="s">
        <v>365</v>
      </c>
      <c r="J20" s="151"/>
      <c r="K20" s="151"/>
      <c r="L20" s="1"/>
      <c r="N20" s="167"/>
      <c r="O20" s="162"/>
      <c r="P20" s="162"/>
    </row>
    <row r="21" spans="1:16" ht="15.75">
      <c r="A21" s="908"/>
      <c r="B21" s="39"/>
      <c r="C21" s="906"/>
      <c r="D21" s="34">
        <v>2</v>
      </c>
      <c r="E21" s="35">
        <v>15.5</v>
      </c>
      <c r="F21" s="36">
        <v>1.5</v>
      </c>
      <c r="G21" s="35"/>
      <c r="H21" s="193">
        <f>F21*E21*D21</f>
        <v>46.5</v>
      </c>
      <c r="I21" s="185" t="s">
        <v>365</v>
      </c>
      <c r="J21" s="151"/>
      <c r="K21" s="151"/>
      <c r="L21" s="1"/>
      <c r="N21" s="167"/>
      <c r="O21" s="162"/>
      <c r="P21" s="162"/>
    </row>
    <row r="22" spans="1:16" ht="15.75">
      <c r="A22" s="908"/>
      <c r="B22" s="39"/>
      <c r="C22" s="906" t="s">
        <v>132</v>
      </c>
      <c r="D22" s="34">
        <v>2</v>
      </c>
      <c r="E22" s="35">
        <v>21</v>
      </c>
      <c r="F22" s="36">
        <v>1.5</v>
      </c>
      <c r="G22" s="35"/>
      <c r="H22" s="193">
        <f>D22*E22*F22</f>
        <v>63</v>
      </c>
      <c r="I22" s="185" t="s">
        <v>366</v>
      </c>
      <c r="J22" s="151"/>
      <c r="K22" s="151"/>
      <c r="L22" s="1"/>
      <c r="N22" s="167"/>
      <c r="O22" s="162"/>
      <c r="P22" s="162"/>
    </row>
    <row r="23" spans="1:16" ht="15.75">
      <c r="A23" s="908"/>
      <c r="B23" s="39"/>
      <c r="C23" s="906"/>
      <c r="D23" s="34">
        <v>2</v>
      </c>
      <c r="E23" s="35">
        <v>7.5</v>
      </c>
      <c r="F23" s="36">
        <v>1.5</v>
      </c>
      <c r="G23" s="35"/>
      <c r="H23" s="193">
        <f>D23*E23*F23</f>
        <v>22.5</v>
      </c>
      <c r="I23" s="185" t="s">
        <v>366</v>
      </c>
      <c r="J23" s="151"/>
      <c r="K23" s="151"/>
      <c r="L23" s="1"/>
      <c r="N23" s="167"/>
      <c r="O23" s="162"/>
      <c r="P23" s="162"/>
    </row>
    <row r="24" spans="1:16" ht="15.75">
      <c r="A24" s="908"/>
      <c r="B24" s="356"/>
      <c r="C24" s="348"/>
      <c r="D24" s="284"/>
      <c r="E24" s="35"/>
      <c r="F24" s="35"/>
      <c r="G24" s="283" t="s">
        <v>43</v>
      </c>
      <c r="H24" s="229">
        <f>SUM(H20:H23)</f>
        <v>180</v>
      </c>
      <c r="I24" s="185" t="s">
        <v>366</v>
      </c>
      <c r="J24" s="28" t="s">
        <v>394</v>
      </c>
      <c r="K24" s="201"/>
      <c r="L24" s="1"/>
      <c r="N24" s="167"/>
      <c r="O24" s="162"/>
      <c r="P24" s="162"/>
    </row>
    <row r="25" spans="1:16" ht="20.25" customHeight="1">
      <c r="A25" s="908"/>
      <c r="B25" s="39"/>
      <c r="C25" s="101" t="s">
        <v>276</v>
      </c>
      <c r="D25" s="34"/>
      <c r="E25" s="202"/>
      <c r="F25" s="203"/>
      <c r="G25" s="163"/>
      <c r="H25" s="193"/>
      <c r="I25" s="185"/>
      <c r="J25" s="151"/>
      <c r="K25" s="151"/>
      <c r="L25" s="1"/>
      <c r="N25" s="167"/>
      <c r="O25" s="162"/>
      <c r="P25" s="162"/>
    </row>
    <row r="26" spans="1:16" ht="20.25" customHeight="1">
      <c r="A26" s="908"/>
      <c r="B26" s="39"/>
      <c r="C26" s="101" t="s">
        <v>248</v>
      </c>
      <c r="D26" s="34"/>
      <c r="E26" s="35"/>
      <c r="F26" s="204"/>
      <c r="G26" s="200"/>
      <c r="H26" s="193"/>
      <c r="I26" s="185"/>
      <c r="J26" s="151"/>
      <c r="K26" s="151"/>
      <c r="L26" s="1"/>
      <c r="N26" s="167"/>
      <c r="O26" s="162"/>
      <c r="P26" s="162"/>
    </row>
    <row r="27" spans="1:16" ht="20.100000000000001" customHeight="1">
      <c r="A27" s="908"/>
      <c r="B27" s="39"/>
      <c r="C27" s="170" t="s">
        <v>149</v>
      </c>
      <c r="D27" s="34">
        <v>8</v>
      </c>
      <c r="E27" s="35">
        <v>3.05</v>
      </c>
      <c r="F27" s="205">
        <v>3.6</v>
      </c>
      <c r="G27" s="206"/>
      <c r="H27" s="193">
        <f>F27*E27*D27</f>
        <v>87.84</v>
      </c>
      <c r="I27" s="185" t="s">
        <v>366</v>
      </c>
      <c r="J27" s="151"/>
      <c r="K27" s="151"/>
      <c r="L27" s="1"/>
      <c r="N27" s="167"/>
      <c r="O27" s="162"/>
      <c r="P27" s="162"/>
    </row>
    <row r="28" spans="1:16" ht="20.100000000000001" customHeight="1">
      <c r="A28" s="908"/>
      <c r="B28" s="39"/>
      <c r="C28" s="170" t="s">
        <v>283</v>
      </c>
      <c r="D28" s="34">
        <v>8</v>
      </c>
      <c r="E28" s="35">
        <v>3.05</v>
      </c>
      <c r="F28" s="205">
        <v>3.6</v>
      </c>
      <c r="G28" s="206">
        <v>0.1</v>
      </c>
      <c r="H28" s="193">
        <f>F28*E28*D28*G28</f>
        <v>8.7840000000000007</v>
      </c>
      <c r="I28" s="185" t="s">
        <v>366</v>
      </c>
      <c r="J28" s="151"/>
      <c r="K28" s="151"/>
      <c r="L28" s="1"/>
      <c r="N28" s="167"/>
      <c r="O28" s="162"/>
      <c r="P28" s="162"/>
    </row>
    <row r="29" spans="1:16" ht="20.100000000000001" customHeight="1">
      <c r="A29" s="908"/>
      <c r="B29" s="39"/>
      <c r="C29" s="170" t="s">
        <v>159</v>
      </c>
      <c r="D29" s="34">
        <v>8</v>
      </c>
      <c r="E29" s="35">
        <v>3.05</v>
      </c>
      <c r="F29" s="205">
        <v>3.05</v>
      </c>
      <c r="G29" s="206"/>
      <c r="H29" s="193">
        <f t="shared" ref="H29:H37" si="1">F29*E29*D29</f>
        <v>74.419999999999987</v>
      </c>
      <c r="I29" s="185" t="s">
        <v>366</v>
      </c>
      <c r="J29" s="151"/>
      <c r="K29" s="151"/>
      <c r="L29" s="1"/>
      <c r="N29" s="167"/>
      <c r="O29" s="162"/>
      <c r="P29" s="162"/>
    </row>
    <row r="30" spans="1:16" ht="20.100000000000001" customHeight="1">
      <c r="A30" s="908"/>
      <c r="B30" s="39"/>
      <c r="C30" s="170" t="s">
        <v>283</v>
      </c>
      <c r="D30" s="34">
        <v>8</v>
      </c>
      <c r="E30" s="35">
        <v>3.05</v>
      </c>
      <c r="F30" s="205">
        <v>3.05</v>
      </c>
      <c r="G30" s="206">
        <v>0.1</v>
      </c>
      <c r="H30" s="193">
        <f>F30*E30*D30*G30</f>
        <v>7.4419999999999993</v>
      </c>
      <c r="I30" s="185" t="s">
        <v>366</v>
      </c>
      <c r="J30" s="151"/>
      <c r="K30" s="151"/>
      <c r="L30" s="1"/>
      <c r="N30" s="167"/>
      <c r="O30" s="162"/>
      <c r="P30" s="162"/>
    </row>
    <row r="31" spans="1:16" ht="20.100000000000001" customHeight="1">
      <c r="A31" s="908"/>
      <c r="B31" s="39"/>
      <c r="C31" s="170" t="s">
        <v>150</v>
      </c>
      <c r="D31" s="34">
        <v>8</v>
      </c>
      <c r="E31" s="35">
        <v>3.05</v>
      </c>
      <c r="F31" s="205">
        <v>2.12</v>
      </c>
      <c r="G31" s="357"/>
      <c r="H31" s="193">
        <f t="shared" si="1"/>
        <v>51.728000000000002</v>
      </c>
      <c r="I31" s="185" t="s">
        <v>366</v>
      </c>
      <c r="J31" s="151"/>
      <c r="K31" s="151"/>
      <c r="L31" s="1"/>
      <c r="N31" s="167"/>
      <c r="O31" s="162"/>
      <c r="P31" s="162"/>
    </row>
    <row r="32" spans="1:16" ht="20.100000000000001" customHeight="1">
      <c r="A32" s="908"/>
      <c r="B32" s="39"/>
      <c r="C32" s="170" t="s">
        <v>283</v>
      </c>
      <c r="D32" s="34">
        <v>8</v>
      </c>
      <c r="E32" s="35">
        <v>3.05</v>
      </c>
      <c r="F32" s="205">
        <v>2.12</v>
      </c>
      <c r="G32" s="206">
        <v>0.1</v>
      </c>
      <c r="H32" s="193">
        <f>F32*E32*D32*G32</f>
        <v>5.1728000000000005</v>
      </c>
      <c r="I32" s="185" t="s">
        <v>366</v>
      </c>
      <c r="J32" s="151"/>
      <c r="K32" s="151"/>
      <c r="L32" s="1"/>
      <c r="N32" s="167"/>
      <c r="O32" s="162"/>
      <c r="P32" s="162"/>
    </row>
    <row r="33" spans="1:17" ht="20.100000000000001" customHeight="1">
      <c r="A33" s="908"/>
      <c r="B33" s="39"/>
      <c r="C33" s="170" t="s">
        <v>152</v>
      </c>
      <c r="D33" s="34">
        <v>8</v>
      </c>
      <c r="E33" s="35">
        <v>1.9</v>
      </c>
      <c r="F33" s="205">
        <v>1.07</v>
      </c>
      <c r="G33" s="206"/>
      <c r="H33" s="193">
        <f t="shared" si="1"/>
        <v>16.263999999999999</v>
      </c>
      <c r="I33" s="185" t="s">
        <v>366</v>
      </c>
      <c r="J33" s="151"/>
      <c r="K33" s="151"/>
      <c r="L33" s="1"/>
      <c r="N33" s="167"/>
      <c r="O33" s="162"/>
      <c r="P33" s="162"/>
    </row>
    <row r="34" spans="1:17" ht="20.100000000000001" customHeight="1">
      <c r="A34" s="908"/>
      <c r="B34" s="39"/>
      <c r="C34" s="170" t="s">
        <v>282</v>
      </c>
      <c r="D34" s="34">
        <v>8</v>
      </c>
      <c r="E34" s="35">
        <v>1.9</v>
      </c>
      <c r="F34" s="205">
        <v>1.07</v>
      </c>
      <c r="G34" s="206">
        <v>1.5</v>
      </c>
      <c r="H34" s="193">
        <f>F34*E34*D34*G34</f>
        <v>24.396000000000001</v>
      </c>
      <c r="I34" s="185" t="s">
        <v>366</v>
      </c>
      <c r="J34" s="151"/>
      <c r="K34" s="151"/>
      <c r="L34" s="1"/>
      <c r="N34" s="27"/>
      <c r="O34" s="23"/>
      <c r="P34" s="180"/>
      <c r="Q34" s="51"/>
    </row>
    <row r="35" spans="1:17" ht="20.100000000000001" customHeight="1">
      <c r="A35" s="908"/>
      <c r="B35" s="39"/>
      <c r="C35" s="170" t="s">
        <v>153</v>
      </c>
      <c r="D35" s="34">
        <v>8</v>
      </c>
      <c r="E35" s="35">
        <v>1.08</v>
      </c>
      <c r="F35" s="205">
        <v>0.95</v>
      </c>
      <c r="G35" s="206"/>
      <c r="H35" s="193">
        <f t="shared" si="1"/>
        <v>8.2080000000000002</v>
      </c>
      <c r="I35" s="185" t="s">
        <v>366</v>
      </c>
      <c r="J35" s="151"/>
      <c r="K35" s="151"/>
      <c r="L35" s="1"/>
      <c r="N35" s="27"/>
      <c r="O35" s="23"/>
      <c r="P35" s="180"/>
      <c r="Q35" s="51"/>
    </row>
    <row r="36" spans="1:17" ht="20.100000000000001" customHeight="1">
      <c r="A36" s="908"/>
      <c r="B36" s="39"/>
      <c r="C36" s="170" t="s">
        <v>282</v>
      </c>
      <c r="D36" s="34">
        <v>8</v>
      </c>
      <c r="E36" s="35">
        <v>1.08</v>
      </c>
      <c r="F36" s="205">
        <v>0.95</v>
      </c>
      <c r="G36" s="206">
        <v>1.5</v>
      </c>
      <c r="H36" s="193">
        <f>F36*E36*D36*G36</f>
        <v>12.312000000000001</v>
      </c>
      <c r="I36" s="185" t="s">
        <v>366</v>
      </c>
      <c r="J36" s="151"/>
      <c r="K36" s="151"/>
      <c r="L36" s="1"/>
      <c r="N36" s="27"/>
      <c r="O36" s="23"/>
      <c r="P36" s="180"/>
      <c r="Q36" s="51"/>
    </row>
    <row r="37" spans="1:17" ht="20.100000000000001" customHeight="1">
      <c r="A37" s="908"/>
      <c r="B37" s="39"/>
      <c r="C37" s="170" t="s">
        <v>151</v>
      </c>
      <c r="D37" s="34">
        <v>8</v>
      </c>
      <c r="E37" s="35">
        <v>3.05</v>
      </c>
      <c r="F37" s="205">
        <v>2.14</v>
      </c>
      <c r="G37" s="206"/>
      <c r="H37" s="193">
        <f t="shared" si="1"/>
        <v>52.216000000000001</v>
      </c>
      <c r="I37" s="185" t="s">
        <v>366</v>
      </c>
      <c r="J37" s="151"/>
      <c r="K37" s="151"/>
      <c r="L37" s="1"/>
      <c r="N37" s="27"/>
      <c r="O37" s="23"/>
      <c r="P37" s="180"/>
      <c r="Q37" s="51"/>
    </row>
    <row r="38" spans="1:17" ht="23.25" customHeight="1">
      <c r="A38" s="908"/>
      <c r="B38" s="39"/>
      <c r="C38" s="170" t="s">
        <v>251</v>
      </c>
      <c r="D38" s="207">
        <v>1</v>
      </c>
      <c r="E38" s="185">
        <v>5.0999999999999996</v>
      </c>
      <c r="F38" s="205">
        <v>2.15</v>
      </c>
      <c r="G38" s="206"/>
      <c r="H38" s="193">
        <f>F38*E38*D38</f>
        <v>10.964999999999998</v>
      </c>
      <c r="I38" s="185" t="s">
        <v>366</v>
      </c>
      <c r="J38" s="151"/>
      <c r="K38" s="151"/>
      <c r="L38" s="1"/>
      <c r="N38" s="167"/>
      <c r="O38" s="162"/>
      <c r="P38" s="162"/>
    </row>
    <row r="39" spans="1:17" ht="30">
      <c r="A39" s="908"/>
      <c r="B39" s="39"/>
      <c r="C39" s="170" t="s">
        <v>252</v>
      </c>
      <c r="D39" s="207">
        <v>2</v>
      </c>
      <c r="E39" s="185">
        <v>2.5</v>
      </c>
      <c r="F39" s="205">
        <v>2.15</v>
      </c>
      <c r="G39" s="206"/>
      <c r="H39" s="193">
        <f t="shared" ref="H39:H42" si="2">F39*E39*D39</f>
        <v>10.75</v>
      </c>
      <c r="I39" s="185" t="s">
        <v>366</v>
      </c>
      <c r="J39" s="151"/>
      <c r="K39" s="151"/>
      <c r="L39" s="1"/>
      <c r="N39" s="167"/>
      <c r="O39" s="162"/>
      <c r="P39" s="162"/>
    </row>
    <row r="40" spans="1:17" ht="20.100000000000001" customHeight="1">
      <c r="A40" s="908"/>
      <c r="B40" s="39"/>
      <c r="C40" s="170" t="s">
        <v>154</v>
      </c>
      <c r="D40" s="207">
        <v>1</v>
      </c>
      <c r="E40" s="185">
        <v>5.2</v>
      </c>
      <c r="F40" s="205">
        <v>2.15</v>
      </c>
      <c r="G40" s="206"/>
      <c r="H40" s="193">
        <f t="shared" si="2"/>
        <v>11.18</v>
      </c>
      <c r="I40" s="185" t="s">
        <v>366</v>
      </c>
      <c r="J40" s="151"/>
      <c r="K40" s="151"/>
      <c r="L40" s="1"/>
      <c r="N40" s="167"/>
      <c r="O40" s="162"/>
      <c r="P40" s="162"/>
    </row>
    <row r="41" spans="1:17" ht="20.100000000000001" customHeight="1">
      <c r="A41" s="908"/>
      <c r="B41" s="39"/>
      <c r="C41" s="170" t="s">
        <v>155</v>
      </c>
      <c r="D41" s="207">
        <v>2</v>
      </c>
      <c r="E41" s="185">
        <v>2.15</v>
      </c>
      <c r="F41" s="205">
        <v>1.2</v>
      </c>
      <c r="G41" s="206"/>
      <c r="H41" s="193">
        <f t="shared" si="2"/>
        <v>5.1599999999999993</v>
      </c>
      <c r="I41" s="185" t="s">
        <v>366</v>
      </c>
      <c r="J41" s="151"/>
      <c r="K41" s="151"/>
      <c r="L41" s="1"/>
      <c r="N41" s="167"/>
      <c r="O41" s="162"/>
      <c r="P41" s="162"/>
    </row>
    <row r="42" spans="1:17" ht="20.100000000000001" customHeight="1">
      <c r="A42" s="908"/>
      <c r="B42" s="39"/>
      <c r="C42" s="170" t="s">
        <v>156</v>
      </c>
      <c r="D42" s="34">
        <v>4</v>
      </c>
      <c r="E42" s="185">
        <v>0.95</v>
      </c>
      <c r="F42" s="355">
        <v>3</v>
      </c>
      <c r="G42" s="215"/>
      <c r="H42" s="185">
        <f t="shared" si="2"/>
        <v>11.399999999999999</v>
      </c>
      <c r="I42" s="185" t="s">
        <v>366</v>
      </c>
      <c r="J42" s="211"/>
      <c r="K42" s="211"/>
      <c r="L42" s="1"/>
      <c r="N42" s="167"/>
      <c r="O42" s="162"/>
      <c r="P42" s="162"/>
    </row>
    <row r="43" spans="1:17" ht="15.75">
      <c r="A43" s="908"/>
      <c r="B43" s="39"/>
      <c r="C43" s="163"/>
      <c r="D43" s="34"/>
      <c r="E43" s="35"/>
      <c r="F43" s="36"/>
      <c r="G43" s="35"/>
      <c r="H43" s="193"/>
      <c r="I43" s="185"/>
      <c r="J43" s="151"/>
      <c r="K43" s="151"/>
      <c r="L43" s="1"/>
      <c r="N43" s="167"/>
      <c r="O43" s="162"/>
      <c r="P43" s="162"/>
    </row>
    <row r="44" spans="1:17" ht="15.75">
      <c r="A44" s="908"/>
      <c r="B44" s="39"/>
      <c r="C44" s="101" t="s">
        <v>147</v>
      </c>
      <c r="D44" s="34"/>
      <c r="E44" s="35"/>
      <c r="F44" s="204"/>
      <c r="G44" s="200"/>
      <c r="H44" s="193"/>
      <c r="I44" s="185"/>
      <c r="J44" s="151"/>
      <c r="K44" s="151"/>
      <c r="L44" s="1"/>
      <c r="N44" s="167"/>
      <c r="O44" s="162"/>
      <c r="P44" s="162"/>
    </row>
    <row r="45" spans="1:17" ht="15.75">
      <c r="A45" s="908"/>
      <c r="B45" s="39"/>
      <c r="C45" s="170" t="s">
        <v>149</v>
      </c>
      <c r="D45" s="34">
        <v>12</v>
      </c>
      <c r="E45" s="35">
        <v>3.05</v>
      </c>
      <c r="F45" s="205">
        <v>3.75</v>
      </c>
      <c r="G45" s="206"/>
      <c r="H45" s="193">
        <f t="shared" ref="H45:H54" si="3">F45*E45*D45</f>
        <v>137.25</v>
      </c>
      <c r="I45" s="185" t="s">
        <v>366</v>
      </c>
      <c r="J45" s="151"/>
      <c r="K45" s="151"/>
      <c r="L45" s="1"/>
      <c r="N45" s="167"/>
      <c r="O45" s="162"/>
      <c r="P45" s="162"/>
    </row>
    <row r="46" spans="1:17" ht="15.75">
      <c r="A46" s="908"/>
      <c r="B46" s="39"/>
      <c r="C46" s="170" t="s">
        <v>283</v>
      </c>
      <c r="D46" s="34">
        <v>12</v>
      </c>
      <c r="E46" s="35">
        <v>3.05</v>
      </c>
      <c r="F46" s="205">
        <v>3.75</v>
      </c>
      <c r="G46" s="206">
        <v>0.1</v>
      </c>
      <c r="H46" s="193">
        <f>F46*E46*D46*G46</f>
        <v>13.725000000000001</v>
      </c>
      <c r="I46" s="185" t="s">
        <v>366</v>
      </c>
      <c r="J46" s="151"/>
      <c r="K46" s="151"/>
      <c r="L46" s="1"/>
      <c r="N46" s="167"/>
      <c r="O46" s="162"/>
      <c r="P46" s="162"/>
    </row>
    <row r="47" spans="1:17" ht="15.75">
      <c r="A47" s="908"/>
      <c r="B47" s="39"/>
      <c r="C47" s="170" t="s">
        <v>150</v>
      </c>
      <c r="D47" s="34">
        <v>12</v>
      </c>
      <c r="E47" s="35">
        <v>3.05</v>
      </c>
      <c r="F47" s="205">
        <v>3.05</v>
      </c>
      <c r="G47" s="206"/>
      <c r="H47" s="193">
        <f t="shared" si="3"/>
        <v>111.62999999999998</v>
      </c>
      <c r="I47" s="185" t="s">
        <v>366</v>
      </c>
      <c r="J47" s="151"/>
      <c r="K47" s="151"/>
      <c r="L47" s="1"/>
      <c r="N47" s="167"/>
      <c r="O47" s="162"/>
      <c r="P47" s="162"/>
    </row>
    <row r="48" spans="1:17" ht="15.75">
      <c r="A48" s="908"/>
      <c r="B48" s="39"/>
      <c r="C48" s="170" t="s">
        <v>283</v>
      </c>
      <c r="D48" s="34">
        <v>8</v>
      </c>
      <c r="E48" s="35">
        <v>3.05</v>
      </c>
      <c r="F48" s="205">
        <v>3.05</v>
      </c>
      <c r="G48" s="206">
        <v>0.1</v>
      </c>
      <c r="H48" s="193">
        <f>F48*E48*D48*G48</f>
        <v>7.4419999999999993</v>
      </c>
      <c r="I48" s="185" t="s">
        <v>366</v>
      </c>
      <c r="J48" s="151"/>
      <c r="K48" s="151"/>
      <c r="L48" s="1"/>
      <c r="N48" s="167"/>
      <c r="O48" s="162"/>
      <c r="P48" s="162"/>
    </row>
    <row r="49" spans="1:16" ht="15.75">
      <c r="A49" s="908"/>
      <c r="B49" s="39"/>
      <c r="C49" s="170" t="s">
        <v>151</v>
      </c>
      <c r="D49" s="34">
        <v>12</v>
      </c>
      <c r="E49" s="35">
        <v>0.98</v>
      </c>
      <c r="F49" s="205">
        <v>2.52</v>
      </c>
      <c r="G49" s="206"/>
      <c r="H49" s="193">
        <f t="shared" si="3"/>
        <v>29.635199999999998</v>
      </c>
      <c r="I49" s="185" t="s">
        <v>366</v>
      </c>
      <c r="J49" s="151"/>
      <c r="K49" s="151"/>
      <c r="L49" s="1"/>
      <c r="N49" s="167"/>
      <c r="O49" s="162"/>
      <c r="P49" s="162"/>
    </row>
    <row r="50" spans="1:16" ht="15.75">
      <c r="A50" s="908"/>
      <c r="B50" s="39"/>
      <c r="C50" s="170" t="s">
        <v>152</v>
      </c>
      <c r="D50" s="34">
        <v>12</v>
      </c>
      <c r="E50" s="35">
        <v>1.22</v>
      </c>
      <c r="F50" s="205">
        <v>1.22</v>
      </c>
      <c r="G50" s="206"/>
      <c r="H50" s="193">
        <f t="shared" si="3"/>
        <v>17.860799999999998</v>
      </c>
      <c r="I50" s="185" t="s">
        <v>366</v>
      </c>
      <c r="J50" s="151"/>
      <c r="K50" s="151"/>
      <c r="L50" s="1"/>
      <c r="N50" s="167"/>
      <c r="O50" s="162"/>
      <c r="P50" s="162"/>
    </row>
    <row r="51" spans="1:16" ht="15.75">
      <c r="A51" s="908"/>
      <c r="B51" s="39"/>
      <c r="C51" s="170" t="s">
        <v>153</v>
      </c>
      <c r="D51" s="34">
        <v>12</v>
      </c>
      <c r="E51" s="35">
        <v>0.95</v>
      </c>
      <c r="F51" s="205">
        <v>1.22</v>
      </c>
      <c r="G51" s="206"/>
      <c r="H51" s="193">
        <f t="shared" si="3"/>
        <v>13.908000000000001</v>
      </c>
      <c r="I51" s="185" t="s">
        <v>366</v>
      </c>
      <c r="J51" s="151"/>
      <c r="K51" s="151"/>
      <c r="L51" s="1"/>
      <c r="N51" s="167"/>
      <c r="O51" s="162"/>
      <c r="P51" s="162"/>
    </row>
    <row r="52" spans="1:16" ht="18" customHeight="1">
      <c r="A52" s="908"/>
      <c r="B52" s="39"/>
      <c r="C52" s="170" t="s">
        <v>251</v>
      </c>
      <c r="D52" s="207">
        <v>1</v>
      </c>
      <c r="E52" s="185">
        <v>5.3070000000000004</v>
      </c>
      <c r="F52" s="205">
        <v>2.15</v>
      </c>
      <c r="G52" s="206"/>
      <c r="H52" s="193">
        <f t="shared" si="3"/>
        <v>11.41005</v>
      </c>
      <c r="I52" s="185" t="s">
        <v>366</v>
      </c>
      <c r="J52" s="151"/>
      <c r="K52" s="151"/>
      <c r="L52" s="1"/>
      <c r="N52" s="167"/>
      <c r="O52" s="162"/>
      <c r="P52" s="162"/>
    </row>
    <row r="53" spans="1:16" ht="30">
      <c r="A53" s="908"/>
      <c r="B53" s="39"/>
      <c r="C53" s="170" t="s">
        <v>250</v>
      </c>
      <c r="D53" s="207">
        <v>2</v>
      </c>
      <c r="E53" s="185">
        <v>3.74</v>
      </c>
      <c r="F53" s="205">
        <v>2.15</v>
      </c>
      <c r="G53" s="206"/>
      <c r="H53" s="193">
        <f t="shared" si="3"/>
        <v>16.082000000000001</v>
      </c>
      <c r="I53" s="185" t="s">
        <v>366</v>
      </c>
      <c r="J53" s="151"/>
      <c r="K53" s="151"/>
      <c r="L53" s="1"/>
      <c r="N53" s="167"/>
      <c r="O53" s="162"/>
      <c r="P53" s="162"/>
    </row>
    <row r="54" spans="1:16" ht="30">
      <c r="A54" s="908"/>
      <c r="B54" s="39"/>
      <c r="C54" s="170" t="s">
        <v>154</v>
      </c>
      <c r="D54" s="34">
        <v>1</v>
      </c>
      <c r="E54" s="35">
        <v>2.15</v>
      </c>
      <c r="F54" s="205">
        <v>5.2</v>
      </c>
      <c r="G54" s="206"/>
      <c r="H54" s="193">
        <f t="shared" si="3"/>
        <v>11.18</v>
      </c>
      <c r="I54" s="185" t="s">
        <v>366</v>
      </c>
      <c r="J54" s="151"/>
      <c r="K54" s="151"/>
      <c r="L54" s="1"/>
      <c r="N54" s="167"/>
      <c r="O54" s="162"/>
      <c r="P54" s="162"/>
    </row>
    <row r="55" spans="1:16" ht="15.75">
      <c r="A55" s="908"/>
      <c r="B55" s="39"/>
      <c r="C55" s="158" t="s">
        <v>155</v>
      </c>
      <c r="D55" s="212">
        <v>3</v>
      </c>
      <c r="E55" s="213">
        <v>2.15</v>
      </c>
      <c r="F55" s="214">
        <v>1.2</v>
      </c>
      <c r="G55" s="215"/>
      <c r="H55" s="193">
        <f>F55*E55*D55</f>
        <v>7.7399999999999984</v>
      </c>
      <c r="I55" s="185" t="s">
        <v>366</v>
      </c>
      <c r="J55" s="151"/>
      <c r="K55" s="151"/>
      <c r="L55" s="1"/>
      <c r="N55" s="167"/>
      <c r="O55" s="162"/>
      <c r="P55" s="162"/>
    </row>
    <row r="56" spans="1:16" ht="15.75">
      <c r="A56" s="908"/>
      <c r="B56" s="39"/>
      <c r="C56" s="158" t="s">
        <v>156</v>
      </c>
      <c r="D56" s="192">
        <v>6</v>
      </c>
      <c r="E56" s="202">
        <v>0.95</v>
      </c>
      <c r="F56" s="214">
        <v>3</v>
      </c>
      <c r="G56" s="216"/>
      <c r="H56" s="213">
        <f>F56*E56*D56</f>
        <v>17.099999999999998</v>
      </c>
      <c r="I56" s="213" t="s">
        <v>366</v>
      </c>
      <c r="J56" s="28"/>
      <c r="K56" s="151"/>
      <c r="L56" s="1"/>
      <c r="N56" s="167"/>
      <c r="O56" s="162"/>
      <c r="P56" s="162"/>
    </row>
    <row r="57" spans="1:16" ht="15.75">
      <c r="A57" s="908"/>
      <c r="B57" s="39"/>
      <c r="C57" s="30"/>
      <c r="D57" s="34"/>
      <c r="E57" s="35"/>
      <c r="F57" s="3"/>
      <c r="G57" s="194"/>
      <c r="H57" s="217"/>
      <c r="I57" s="218"/>
      <c r="J57" s="28"/>
      <c r="K57" s="151"/>
      <c r="L57" s="1"/>
      <c r="N57" s="167"/>
      <c r="O57" s="162"/>
      <c r="P57" s="162"/>
    </row>
    <row r="58" spans="1:16" ht="15.75">
      <c r="A58" s="908"/>
      <c r="B58" s="39"/>
      <c r="C58" s="25" t="s">
        <v>269</v>
      </c>
      <c r="D58" s="34"/>
      <c r="E58" s="35"/>
      <c r="F58" s="36"/>
      <c r="G58" s="35"/>
      <c r="H58" s="193"/>
      <c r="I58" s="185"/>
      <c r="J58" s="151"/>
      <c r="K58" s="151"/>
      <c r="L58" s="1"/>
      <c r="N58" s="167"/>
      <c r="O58" s="162"/>
      <c r="P58" s="162"/>
    </row>
    <row r="59" spans="1:16" ht="15.75">
      <c r="A59" s="908"/>
      <c r="B59" s="39"/>
      <c r="C59" s="159" t="s">
        <v>272</v>
      </c>
      <c r="D59" s="192">
        <v>8</v>
      </c>
      <c r="E59" s="35">
        <v>2.125</v>
      </c>
      <c r="F59" s="36">
        <v>0.7</v>
      </c>
      <c r="G59" s="35"/>
      <c r="H59" s="219">
        <f>D59*E59*F59</f>
        <v>11.899999999999999</v>
      </c>
      <c r="I59" s="185" t="s">
        <v>365</v>
      </c>
      <c r="J59" s="151"/>
      <c r="K59" s="151"/>
      <c r="L59" s="1"/>
      <c r="N59" s="167"/>
      <c r="O59" s="162"/>
      <c r="P59" s="162"/>
    </row>
    <row r="60" spans="1:16" ht="15.75">
      <c r="A60" s="908"/>
      <c r="B60" s="39"/>
      <c r="C60" s="159" t="s">
        <v>273</v>
      </c>
      <c r="D60" s="192">
        <v>12</v>
      </c>
      <c r="E60" s="35">
        <v>3.05</v>
      </c>
      <c r="F60" s="36">
        <v>0.7</v>
      </c>
      <c r="G60" s="35"/>
      <c r="H60" s="219">
        <f>D60*E60*F60</f>
        <v>25.619999999999994</v>
      </c>
      <c r="I60" s="185" t="s">
        <v>365</v>
      </c>
      <c r="J60" s="151"/>
      <c r="K60" s="151"/>
      <c r="L60" s="1"/>
      <c r="N60" s="167"/>
      <c r="O60" s="162"/>
      <c r="P60" s="162"/>
    </row>
    <row r="61" spans="1:16" ht="15.75">
      <c r="A61" s="908"/>
      <c r="B61" s="39"/>
      <c r="C61" s="160"/>
      <c r="D61" s="220"/>
      <c r="E61" s="220"/>
      <c r="F61" s="910" t="s">
        <v>44</v>
      </c>
      <c r="G61" s="893"/>
      <c r="H61" s="221">
        <f>SUM(H24:H60)</f>
        <v>1010.72085</v>
      </c>
      <c r="I61" s="190" t="s">
        <v>367</v>
      </c>
      <c r="J61" s="151"/>
      <c r="K61" s="151"/>
      <c r="L61" s="1"/>
      <c r="N61" s="167"/>
      <c r="O61" s="162"/>
      <c r="P61" s="162"/>
    </row>
    <row r="62" spans="1:16" ht="15.75">
      <c r="A62" s="909"/>
      <c r="B62" s="349"/>
      <c r="C62" s="350"/>
      <c r="D62" s="350"/>
      <c r="E62" s="350"/>
      <c r="F62" s="913" t="s">
        <v>10</v>
      </c>
      <c r="G62" s="914"/>
      <c r="H62" s="233">
        <f>ROUNDUP(H61,0)</f>
        <v>1011</v>
      </c>
      <c r="I62" s="234" t="s">
        <v>368</v>
      </c>
      <c r="J62" s="351">
        <v>45</v>
      </c>
      <c r="K62" s="351">
        <f>J62*H62</f>
        <v>45495</v>
      </c>
      <c r="L62" s="1"/>
      <c r="N62" s="167"/>
      <c r="O62" s="162"/>
      <c r="P62" s="162"/>
    </row>
    <row r="63" spans="1:16" ht="15.75">
      <c r="A63" s="223"/>
      <c r="B63" s="39"/>
      <c r="C63" s="352"/>
      <c r="D63" s="224"/>
      <c r="E63" s="352"/>
      <c r="F63" s="354"/>
      <c r="G63" s="353"/>
      <c r="H63" s="189"/>
      <c r="I63" s="229"/>
      <c r="J63" s="191"/>
      <c r="K63" s="151"/>
      <c r="L63" s="1"/>
      <c r="N63" s="167"/>
      <c r="O63" s="162"/>
      <c r="P63" s="162"/>
    </row>
    <row r="64" spans="1:16" ht="80.25" customHeight="1">
      <c r="A64" s="226">
        <v>3</v>
      </c>
      <c r="B64" s="39" t="s">
        <v>290</v>
      </c>
      <c r="C64" s="30" t="s">
        <v>287</v>
      </c>
      <c r="D64" s="224"/>
      <c r="E64" s="248"/>
      <c r="F64" s="225"/>
      <c r="G64" s="225"/>
      <c r="H64" s="189"/>
      <c r="I64" s="229"/>
      <c r="J64" s="191"/>
      <c r="K64" s="151"/>
      <c r="L64" s="1"/>
      <c r="N64" s="167"/>
      <c r="O64" s="162"/>
      <c r="P64" s="162"/>
    </row>
    <row r="65" spans="1:16" ht="15.75">
      <c r="A65" s="223"/>
      <c r="B65" s="39"/>
      <c r="C65" s="345" t="s">
        <v>288</v>
      </c>
      <c r="D65" s="224"/>
      <c r="E65" s="248"/>
      <c r="F65" s="225"/>
      <c r="G65" s="225"/>
      <c r="H65" s="189"/>
      <c r="I65" s="229"/>
      <c r="J65" s="191"/>
      <c r="K65" s="151"/>
      <c r="L65" s="1"/>
      <c r="N65" s="167"/>
      <c r="O65" s="162"/>
      <c r="P65" s="162"/>
    </row>
    <row r="66" spans="1:16" ht="15.75">
      <c r="A66" s="223"/>
      <c r="B66" s="39"/>
      <c r="C66" s="346" t="s">
        <v>289</v>
      </c>
      <c r="D66" s="224"/>
      <c r="E66" s="248"/>
      <c r="F66" s="225"/>
      <c r="G66" s="225"/>
      <c r="H66" s="189"/>
      <c r="I66" s="229"/>
      <c r="J66" s="191"/>
      <c r="K66" s="151"/>
      <c r="L66" s="1"/>
      <c r="N66" s="167"/>
      <c r="O66" s="162"/>
      <c r="P66" s="162"/>
    </row>
    <row r="67" spans="1:16" ht="15.75">
      <c r="A67" s="223"/>
      <c r="B67" s="39"/>
      <c r="C67" s="346" t="s">
        <v>392</v>
      </c>
      <c r="D67" s="224"/>
      <c r="E67" s="248"/>
      <c r="F67" s="225"/>
      <c r="G67" s="225" t="s">
        <v>292</v>
      </c>
      <c r="H67" s="189">
        <f>H62-180</f>
        <v>831</v>
      </c>
      <c r="I67" s="229" t="s">
        <v>368</v>
      </c>
      <c r="J67" s="151">
        <v>1045</v>
      </c>
      <c r="K67" s="151">
        <f>J67*H67</f>
        <v>868395</v>
      </c>
      <c r="L67" s="1"/>
      <c r="N67" s="167"/>
      <c r="O67" s="162"/>
      <c r="P67" s="162"/>
    </row>
    <row r="68" spans="1:16" ht="15.75">
      <c r="A68" s="223"/>
      <c r="B68" s="39"/>
      <c r="C68" s="248"/>
      <c r="D68" s="224"/>
      <c r="E68" s="248"/>
      <c r="F68" s="225"/>
      <c r="G68" s="225"/>
      <c r="H68" s="189"/>
      <c r="I68" s="229" t="s">
        <v>368</v>
      </c>
      <c r="J68" s="235"/>
      <c r="K68" s="151"/>
      <c r="L68" s="1"/>
      <c r="N68" s="167"/>
      <c r="O68" s="162"/>
      <c r="P68" s="162"/>
    </row>
    <row r="69" spans="1:16" ht="225">
      <c r="A69" s="443">
        <v>4</v>
      </c>
      <c r="B69" s="442" t="s">
        <v>420</v>
      </c>
      <c r="C69" s="378" t="s">
        <v>421</v>
      </c>
      <c r="D69" s="444"/>
      <c r="E69" s="444"/>
      <c r="F69" s="445"/>
      <c r="G69" s="445"/>
      <c r="H69" s="414"/>
      <c r="I69" s="415"/>
      <c r="J69" s="416"/>
      <c r="K69" s="416"/>
      <c r="L69" s="1"/>
      <c r="N69" s="167"/>
      <c r="O69" s="162"/>
      <c r="P69" s="162"/>
    </row>
    <row r="70" spans="1:16" ht="15.75">
      <c r="A70" s="228"/>
      <c r="B70" s="39"/>
      <c r="C70" s="30" t="s">
        <v>422</v>
      </c>
      <c r="D70" s="34"/>
      <c r="E70" s="35"/>
      <c r="F70" s="197"/>
      <c r="G70" s="188"/>
      <c r="H70" s="440">
        <v>180</v>
      </c>
      <c r="I70" s="441" t="s">
        <v>368</v>
      </c>
      <c r="J70" s="439">
        <v>550</v>
      </c>
      <c r="K70" s="439">
        <f>J70*H70</f>
        <v>99000</v>
      </c>
      <c r="L70" s="1"/>
      <c r="N70" s="167"/>
      <c r="O70" s="162"/>
      <c r="P70" s="162"/>
    </row>
    <row r="71" spans="1:16" ht="15.75">
      <c r="A71" s="228"/>
      <c r="B71" s="39"/>
      <c r="C71" s="30"/>
      <c r="D71" s="34"/>
      <c r="E71" s="35"/>
      <c r="F71" s="197"/>
      <c r="G71" s="434"/>
      <c r="H71" s="440"/>
      <c r="I71" s="441"/>
      <c r="J71" s="439"/>
      <c r="K71" s="439"/>
      <c r="L71" s="1"/>
      <c r="N71" s="435"/>
      <c r="O71" s="431"/>
      <c r="P71" s="431"/>
    </row>
    <row r="72" spans="1:16" ht="63" customHeight="1">
      <c r="A72" s="231">
        <v>5</v>
      </c>
      <c r="B72" s="39" t="s">
        <v>136</v>
      </c>
      <c r="C72" s="30" t="s">
        <v>146</v>
      </c>
      <c r="D72" s="34"/>
      <c r="E72" s="35"/>
      <c r="F72" s="204"/>
      <c r="G72" s="200"/>
      <c r="H72" s="193"/>
      <c r="I72" s="185"/>
      <c r="J72" s="151"/>
      <c r="K72" s="151"/>
      <c r="L72" s="1"/>
      <c r="N72" s="167"/>
      <c r="O72" s="162"/>
      <c r="P72" s="162"/>
    </row>
    <row r="73" spans="1:16" ht="20.25" customHeight="1">
      <c r="A73" s="228"/>
      <c r="B73" s="39"/>
      <c r="C73" s="101" t="s">
        <v>272</v>
      </c>
      <c r="D73" s="34"/>
      <c r="E73" s="202"/>
      <c r="F73" s="203"/>
      <c r="G73" s="163"/>
      <c r="H73" s="193"/>
      <c r="I73" s="185"/>
      <c r="J73" s="151"/>
      <c r="K73" s="151"/>
      <c r="L73" s="1"/>
      <c r="N73" s="167"/>
      <c r="O73" s="162"/>
      <c r="P73" s="162"/>
    </row>
    <row r="74" spans="1:16" ht="20.100000000000001" customHeight="1">
      <c r="A74" s="228"/>
      <c r="B74" s="232" t="s">
        <v>284</v>
      </c>
      <c r="C74" s="101" t="s">
        <v>148</v>
      </c>
      <c r="D74" s="34"/>
      <c r="E74" s="35"/>
      <c r="F74" s="204"/>
      <c r="G74" s="200"/>
      <c r="H74" s="193"/>
      <c r="I74" s="185"/>
      <c r="J74" s="151"/>
      <c r="K74" s="151"/>
      <c r="L74" s="1"/>
      <c r="N74" s="167"/>
      <c r="O74" s="162"/>
      <c r="P74" s="162"/>
    </row>
    <row r="75" spans="1:16" ht="20.100000000000001" customHeight="1">
      <c r="A75" s="228"/>
      <c r="B75" s="39"/>
      <c r="C75" s="170" t="s">
        <v>149</v>
      </c>
      <c r="D75" s="34">
        <v>8</v>
      </c>
      <c r="E75" s="35">
        <v>3.05</v>
      </c>
      <c r="F75" s="205">
        <v>3.6</v>
      </c>
      <c r="G75" s="206"/>
      <c r="H75" s="193">
        <f t="shared" ref="H75:H85" si="4">F75*E75*D75</f>
        <v>87.84</v>
      </c>
      <c r="I75" s="185" t="s">
        <v>366</v>
      </c>
      <c r="J75" s="151"/>
      <c r="K75" s="151"/>
      <c r="L75" s="1"/>
      <c r="N75" s="167"/>
      <c r="O75" s="162"/>
      <c r="P75" s="162"/>
    </row>
    <row r="76" spans="1:16" ht="20.100000000000001" customHeight="1">
      <c r="A76" s="228"/>
      <c r="B76" s="39"/>
      <c r="C76" s="170" t="s">
        <v>159</v>
      </c>
      <c r="D76" s="34">
        <v>8</v>
      </c>
      <c r="E76" s="35">
        <v>3.05</v>
      </c>
      <c r="F76" s="205">
        <v>3.05</v>
      </c>
      <c r="G76" s="206"/>
      <c r="H76" s="193">
        <f t="shared" si="4"/>
        <v>74.419999999999987</v>
      </c>
      <c r="I76" s="185" t="s">
        <v>366</v>
      </c>
      <c r="J76" s="151"/>
      <c r="K76" s="151"/>
      <c r="L76" s="1"/>
      <c r="N76" s="167"/>
      <c r="O76" s="162"/>
      <c r="P76" s="162"/>
    </row>
    <row r="77" spans="1:16" ht="20.100000000000001" customHeight="1">
      <c r="A77" s="228"/>
      <c r="B77" s="39"/>
      <c r="C77" s="170" t="s">
        <v>150</v>
      </c>
      <c r="D77" s="34">
        <v>8</v>
      </c>
      <c r="E77" s="35">
        <v>3.05</v>
      </c>
      <c r="F77" s="205">
        <v>2.12</v>
      </c>
      <c r="G77" s="206"/>
      <c r="H77" s="193">
        <f t="shared" si="4"/>
        <v>51.728000000000002</v>
      </c>
      <c r="I77" s="185" t="s">
        <v>366</v>
      </c>
      <c r="J77" s="151"/>
      <c r="K77" s="151"/>
      <c r="L77" s="1"/>
      <c r="N77" s="167"/>
      <c r="O77" s="162"/>
      <c r="P77" s="162"/>
    </row>
    <row r="78" spans="1:16" ht="20.100000000000001" customHeight="1">
      <c r="A78" s="228"/>
      <c r="B78" s="39"/>
      <c r="C78" s="170" t="s">
        <v>152</v>
      </c>
      <c r="D78" s="34">
        <v>8</v>
      </c>
      <c r="E78" s="35">
        <v>1.9</v>
      </c>
      <c r="F78" s="205">
        <v>1.07</v>
      </c>
      <c r="G78" s="206"/>
      <c r="H78" s="193">
        <f t="shared" si="4"/>
        <v>16.263999999999999</v>
      </c>
      <c r="I78" s="185" t="s">
        <v>366</v>
      </c>
      <c r="J78" s="151"/>
      <c r="K78" s="151"/>
      <c r="L78" s="1"/>
      <c r="N78" s="167"/>
      <c r="O78" s="162"/>
      <c r="P78" s="162"/>
    </row>
    <row r="79" spans="1:16" ht="20.100000000000001" customHeight="1">
      <c r="A79" s="228"/>
      <c r="B79" s="39"/>
      <c r="C79" s="170" t="s">
        <v>153</v>
      </c>
      <c r="D79" s="34">
        <v>8</v>
      </c>
      <c r="E79" s="35">
        <v>1.08</v>
      </c>
      <c r="F79" s="205">
        <v>0.95</v>
      </c>
      <c r="G79" s="206"/>
      <c r="H79" s="193">
        <f t="shared" si="4"/>
        <v>8.2080000000000002</v>
      </c>
      <c r="I79" s="185" t="s">
        <v>366</v>
      </c>
      <c r="J79" s="151"/>
      <c r="K79" s="151"/>
      <c r="L79" s="1"/>
      <c r="N79" s="167"/>
      <c r="O79" s="162"/>
      <c r="P79" s="162"/>
    </row>
    <row r="80" spans="1:16" ht="20.100000000000001" customHeight="1">
      <c r="A80" s="228"/>
      <c r="B80" s="39"/>
      <c r="C80" s="170" t="s">
        <v>151</v>
      </c>
      <c r="D80" s="34">
        <v>8</v>
      </c>
      <c r="E80" s="35">
        <v>3.05</v>
      </c>
      <c r="F80" s="205">
        <v>2.14</v>
      </c>
      <c r="G80" s="206"/>
      <c r="H80" s="193">
        <f t="shared" si="4"/>
        <v>52.216000000000001</v>
      </c>
      <c r="I80" s="185" t="s">
        <v>366</v>
      </c>
      <c r="J80" s="151"/>
      <c r="K80" s="151"/>
      <c r="L80" s="1"/>
      <c r="N80" s="167"/>
      <c r="O80" s="162"/>
      <c r="P80" s="162"/>
    </row>
    <row r="81" spans="1:16" ht="21.75" customHeight="1">
      <c r="A81" s="228"/>
      <c r="B81" s="39"/>
      <c r="C81" s="170" t="s">
        <v>251</v>
      </c>
      <c r="D81" s="207">
        <v>1</v>
      </c>
      <c r="E81" s="185">
        <v>5.0999999999999996</v>
      </c>
      <c r="F81" s="205">
        <v>2.15</v>
      </c>
      <c r="G81" s="206"/>
      <c r="H81" s="193">
        <f>F81*E81*D81</f>
        <v>10.964999999999998</v>
      </c>
      <c r="I81" s="185" t="s">
        <v>366</v>
      </c>
      <c r="J81" s="151"/>
      <c r="K81" s="151"/>
      <c r="L81" s="1"/>
      <c r="N81" s="167"/>
      <c r="O81" s="162"/>
      <c r="P81" s="162"/>
    </row>
    <row r="82" spans="1:16" ht="30">
      <c r="A82" s="228"/>
      <c r="B82" s="39"/>
      <c r="C82" s="170" t="s">
        <v>252</v>
      </c>
      <c r="D82" s="207">
        <v>2</v>
      </c>
      <c r="E82" s="185">
        <v>2.5</v>
      </c>
      <c r="F82" s="205">
        <v>2.15</v>
      </c>
      <c r="G82" s="206"/>
      <c r="H82" s="193">
        <f t="shared" ref="H82" si="5">F82*E82*D82</f>
        <v>10.75</v>
      </c>
      <c r="I82" s="185" t="s">
        <v>366</v>
      </c>
      <c r="J82" s="151"/>
      <c r="K82" s="151"/>
      <c r="L82" s="1"/>
      <c r="N82" s="167"/>
      <c r="O82" s="162"/>
      <c r="P82" s="162"/>
    </row>
    <row r="83" spans="1:16" ht="20.100000000000001" customHeight="1">
      <c r="A83" s="228"/>
      <c r="B83" s="39"/>
      <c r="C83" s="170" t="s">
        <v>154</v>
      </c>
      <c r="D83" s="207">
        <v>1</v>
      </c>
      <c r="E83" s="185">
        <v>5.2</v>
      </c>
      <c r="F83" s="205">
        <v>2.15</v>
      </c>
      <c r="G83" s="206"/>
      <c r="H83" s="193">
        <f t="shared" si="4"/>
        <v>11.18</v>
      </c>
      <c r="I83" s="185" t="s">
        <v>366</v>
      </c>
      <c r="J83" s="151"/>
      <c r="K83" s="151"/>
      <c r="L83" s="1"/>
      <c r="N83" s="167"/>
      <c r="O83" s="162"/>
      <c r="P83" s="162"/>
    </row>
    <row r="84" spans="1:16" ht="20.100000000000001" customHeight="1">
      <c r="A84" s="228"/>
      <c r="B84" s="39"/>
      <c r="C84" s="170" t="s">
        <v>155</v>
      </c>
      <c r="D84" s="207">
        <v>2</v>
      </c>
      <c r="E84" s="185">
        <v>2.15</v>
      </c>
      <c r="F84" s="205">
        <v>1.2</v>
      </c>
      <c r="G84" s="206"/>
      <c r="H84" s="193">
        <f t="shared" si="4"/>
        <v>5.1599999999999993</v>
      </c>
      <c r="I84" s="185" t="s">
        <v>366</v>
      </c>
      <c r="J84" s="151"/>
      <c r="K84" s="151"/>
      <c r="L84" s="1"/>
      <c r="N84" s="167"/>
      <c r="O84" s="162"/>
      <c r="P84" s="162"/>
    </row>
    <row r="85" spans="1:16" ht="20.100000000000001" customHeight="1">
      <c r="A85" s="228"/>
      <c r="B85" s="39"/>
      <c r="C85" s="170" t="s">
        <v>156</v>
      </c>
      <c r="D85" s="207">
        <v>4</v>
      </c>
      <c r="E85" s="185">
        <v>0.95</v>
      </c>
      <c r="F85" s="208">
        <v>3</v>
      </c>
      <c r="G85" s="209"/>
      <c r="H85" s="210">
        <f t="shared" si="4"/>
        <v>11.399999999999999</v>
      </c>
      <c r="I85" s="275" t="s">
        <v>366</v>
      </c>
      <c r="J85" s="211"/>
      <c r="K85" s="211"/>
      <c r="L85" s="1"/>
      <c r="N85" s="167"/>
      <c r="O85" s="162"/>
      <c r="P85" s="162"/>
    </row>
    <row r="86" spans="1:16" ht="15.75">
      <c r="A86" s="228"/>
      <c r="B86" s="356"/>
      <c r="C86" s="348"/>
      <c r="D86" s="348"/>
      <c r="E86" s="3"/>
      <c r="F86" s="885" t="s">
        <v>157</v>
      </c>
      <c r="G86" s="886"/>
      <c r="H86" s="233">
        <f>SUM(H75:H85)</f>
        <v>340.13099999999997</v>
      </c>
      <c r="I86" s="234" t="s">
        <v>367</v>
      </c>
      <c r="J86" s="235"/>
      <c r="K86" s="235"/>
      <c r="L86" s="1"/>
      <c r="N86" s="167"/>
      <c r="O86" s="162"/>
      <c r="P86" s="162"/>
    </row>
    <row r="87" spans="1:16" ht="20.100000000000001" customHeight="1">
      <c r="A87" s="228"/>
      <c r="B87" s="39"/>
      <c r="C87" s="104"/>
      <c r="D87" s="299"/>
      <c r="E87" s="295"/>
      <c r="F87" s="890" t="s">
        <v>10</v>
      </c>
      <c r="G87" s="891"/>
      <c r="H87" s="237">
        <f>ROUNDUP(H86,0)</f>
        <v>341</v>
      </c>
      <c r="I87" s="358" t="s">
        <v>369</v>
      </c>
      <c r="J87" s="359"/>
      <c r="K87" s="351"/>
      <c r="L87" s="1"/>
      <c r="N87" s="167"/>
      <c r="O87" s="162"/>
      <c r="P87" s="162"/>
    </row>
    <row r="88" spans="1:16" ht="20.100000000000001" customHeight="1">
      <c r="A88" s="228"/>
      <c r="B88" s="232" t="s">
        <v>286</v>
      </c>
      <c r="C88" s="101" t="s">
        <v>273</v>
      </c>
      <c r="D88" s="34"/>
      <c r="E88" s="35"/>
      <c r="F88" s="204"/>
      <c r="G88" s="238"/>
      <c r="H88" s="193"/>
      <c r="I88" s="185"/>
      <c r="J88" s="151"/>
      <c r="K88" s="151"/>
      <c r="L88" s="1"/>
      <c r="N88" s="167"/>
      <c r="O88" s="162"/>
      <c r="P88" s="162"/>
    </row>
    <row r="89" spans="1:16" ht="20.100000000000001" customHeight="1">
      <c r="A89" s="228"/>
      <c r="B89" s="39"/>
      <c r="C89" s="101" t="s">
        <v>148</v>
      </c>
      <c r="D89" s="34"/>
      <c r="E89" s="35"/>
      <c r="F89" s="204"/>
      <c r="G89" s="238"/>
      <c r="H89" s="193"/>
      <c r="I89" s="185"/>
      <c r="J89" s="151"/>
      <c r="K89" s="151"/>
      <c r="L89" s="1"/>
      <c r="N89" s="167"/>
      <c r="O89" s="162"/>
      <c r="P89" s="162"/>
    </row>
    <row r="90" spans="1:16" ht="20.100000000000001" customHeight="1">
      <c r="A90" s="228"/>
      <c r="B90" s="39"/>
      <c r="C90" s="170" t="s">
        <v>149</v>
      </c>
      <c r="D90" s="34">
        <v>12</v>
      </c>
      <c r="E90" s="35">
        <v>3.05</v>
      </c>
      <c r="F90" s="205">
        <v>3.75</v>
      </c>
      <c r="G90" s="239"/>
      <c r="H90" s="193">
        <f t="shared" ref="H90:H99" si="6">F90*E90*D90</f>
        <v>137.25</v>
      </c>
      <c r="I90" s="185" t="s">
        <v>366</v>
      </c>
      <c r="J90" s="151"/>
      <c r="K90" s="151"/>
      <c r="L90" s="1"/>
      <c r="N90" s="167"/>
      <c r="O90" s="162"/>
      <c r="P90" s="162"/>
    </row>
    <row r="91" spans="1:16" ht="20.100000000000001" customHeight="1">
      <c r="A91" s="228"/>
      <c r="B91" s="39"/>
      <c r="C91" s="170" t="s">
        <v>150</v>
      </c>
      <c r="D91" s="34">
        <v>12</v>
      </c>
      <c r="E91" s="35">
        <v>3.05</v>
      </c>
      <c r="F91" s="205">
        <v>3.05</v>
      </c>
      <c r="G91" s="239"/>
      <c r="H91" s="193">
        <f t="shared" si="6"/>
        <v>111.62999999999998</v>
      </c>
      <c r="I91" s="185" t="s">
        <v>366</v>
      </c>
      <c r="J91" s="151"/>
      <c r="K91" s="151"/>
      <c r="L91" s="1"/>
      <c r="N91" s="167"/>
      <c r="O91" s="162"/>
      <c r="P91" s="162"/>
    </row>
    <row r="92" spans="1:16" ht="20.100000000000001" customHeight="1">
      <c r="A92" s="228"/>
      <c r="B92" s="39"/>
      <c r="C92" s="170" t="s">
        <v>151</v>
      </c>
      <c r="D92" s="34">
        <v>12</v>
      </c>
      <c r="E92" s="35">
        <v>0.98</v>
      </c>
      <c r="F92" s="205">
        <v>2.52</v>
      </c>
      <c r="G92" s="239"/>
      <c r="H92" s="193">
        <f t="shared" si="6"/>
        <v>29.635199999999998</v>
      </c>
      <c r="I92" s="185" t="s">
        <v>366</v>
      </c>
      <c r="J92" s="151"/>
      <c r="K92" s="151"/>
      <c r="L92" s="1"/>
      <c r="N92" s="167"/>
      <c r="O92" s="162"/>
      <c r="P92" s="162"/>
    </row>
    <row r="93" spans="1:16" ht="20.100000000000001" customHeight="1">
      <c r="A93" s="228"/>
      <c r="B93" s="39"/>
      <c r="C93" s="170" t="s">
        <v>152</v>
      </c>
      <c r="D93" s="34">
        <v>12</v>
      </c>
      <c r="E93" s="35">
        <v>1.22</v>
      </c>
      <c r="F93" s="205">
        <v>1.22</v>
      </c>
      <c r="G93" s="239"/>
      <c r="H93" s="193">
        <f t="shared" si="6"/>
        <v>17.860799999999998</v>
      </c>
      <c r="I93" s="185" t="s">
        <v>366</v>
      </c>
      <c r="J93" s="151"/>
      <c r="K93" s="151"/>
      <c r="L93" s="1"/>
      <c r="N93" s="167"/>
      <c r="O93" s="162"/>
      <c r="P93" s="162"/>
    </row>
    <row r="94" spans="1:16" ht="20.100000000000001" customHeight="1">
      <c r="A94" s="228"/>
      <c r="B94" s="39"/>
      <c r="C94" s="170" t="s">
        <v>153</v>
      </c>
      <c r="D94" s="34">
        <v>12</v>
      </c>
      <c r="E94" s="35">
        <v>0.95</v>
      </c>
      <c r="F94" s="205">
        <v>1.22</v>
      </c>
      <c r="G94" s="239"/>
      <c r="H94" s="193">
        <f t="shared" si="6"/>
        <v>13.908000000000001</v>
      </c>
      <c r="I94" s="185" t="s">
        <v>366</v>
      </c>
      <c r="J94" s="151"/>
      <c r="K94" s="151"/>
      <c r="L94" s="1"/>
      <c r="N94" s="167"/>
      <c r="O94" s="162"/>
      <c r="P94" s="162"/>
    </row>
    <row r="95" spans="1:16" ht="28.5" customHeight="1">
      <c r="A95" s="228"/>
      <c r="B95" s="39"/>
      <c r="C95" s="170" t="s">
        <v>251</v>
      </c>
      <c r="D95" s="207">
        <v>1</v>
      </c>
      <c r="E95" s="185">
        <v>5.3070000000000004</v>
      </c>
      <c r="F95" s="205">
        <v>2.15</v>
      </c>
      <c r="G95" s="239"/>
      <c r="H95" s="193">
        <f t="shared" si="6"/>
        <v>11.41005</v>
      </c>
      <c r="I95" s="185" t="s">
        <v>366</v>
      </c>
      <c r="J95" s="151"/>
      <c r="K95" s="151"/>
      <c r="L95" s="1"/>
      <c r="N95" s="167"/>
      <c r="O95" s="162"/>
      <c r="P95" s="162"/>
    </row>
    <row r="96" spans="1:16" ht="28.5" customHeight="1">
      <c r="A96" s="228"/>
      <c r="B96" s="39"/>
      <c r="C96" s="170" t="s">
        <v>250</v>
      </c>
      <c r="D96" s="207">
        <v>2</v>
      </c>
      <c r="E96" s="185">
        <v>3.74</v>
      </c>
      <c r="F96" s="205">
        <v>2.15</v>
      </c>
      <c r="G96" s="239"/>
      <c r="H96" s="193">
        <f t="shared" si="6"/>
        <v>16.082000000000001</v>
      </c>
      <c r="I96" s="185" t="s">
        <v>366</v>
      </c>
      <c r="J96" s="151"/>
      <c r="K96" s="151"/>
      <c r="L96" s="1"/>
      <c r="N96" s="167"/>
      <c r="O96" s="162"/>
      <c r="P96" s="162"/>
    </row>
    <row r="97" spans="1:16" ht="20.100000000000001" customHeight="1">
      <c r="A97" s="228"/>
      <c r="B97" s="39"/>
      <c r="C97" s="170" t="s">
        <v>154</v>
      </c>
      <c r="D97" s="34">
        <v>1</v>
      </c>
      <c r="E97" s="35">
        <v>2.15</v>
      </c>
      <c r="F97" s="205">
        <v>5.2</v>
      </c>
      <c r="G97" s="239"/>
      <c r="H97" s="193">
        <f t="shared" si="6"/>
        <v>11.18</v>
      </c>
      <c r="I97" s="185" t="s">
        <v>366</v>
      </c>
      <c r="J97" s="151"/>
      <c r="K97" s="151"/>
      <c r="L97" s="1"/>
      <c r="N97" s="167"/>
      <c r="O97" s="162"/>
      <c r="P97" s="162"/>
    </row>
    <row r="98" spans="1:16" ht="20.100000000000001" customHeight="1">
      <c r="A98" s="228"/>
      <c r="B98" s="39"/>
      <c r="C98" s="170" t="s">
        <v>155</v>
      </c>
      <c r="D98" s="212">
        <v>3</v>
      </c>
      <c r="E98" s="185">
        <v>2.15</v>
      </c>
      <c r="F98" s="205">
        <v>1.2</v>
      </c>
      <c r="G98" s="239"/>
      <c r="H98" s="193">
        <f t="shared" si="6"/>
        <v>7.7399999999999984</v>
      </c>
      <c r="I98" s="185" t="s">
        <v>366</v>
      </c>
      <c r="J98" s="151"/>
      <c r="K98" s="151"/>
      <c r="L98" s="1"/>
      <c r="N98" s="167"/>
      <c r="O98" s="162"/>
      <c r="P98" s="162"/>
    </row>
    <row r="99" spans="1:16" ht="20.100000000000001" customHeight="1">
      <c r="A99" s="228"/>
      <c r="B99" s="39"/>
      <c r="C99" s="158" t="s">
        <v>156</v>
      </c>
      <c r="D99" s="192">
        <v>6</v>
      </c>
      <c r="E99" s="202">
        <v>0.95</v>
      </c>
      <c r="F99" s="214">
        <v>3</v>
      </c>
      <c r="G99" s="240"/>
      <c r="H99" s="210">
        <f t="shared" si="6"/>
        <v>17.099999999999998</v>
      </c>
      <c r="I99" s="185" t="s">
        <v>366</v>
      </c>
      <c r="J99" s="211"/>
      <c r="K99" s="211"/>
      <c r="L99" s="1"/>
      <c r="N99" s="167"/>
      <c r="O99" s="162"/>
      <c r="P99" s="162"/>
    </row>
    <row r="100" spans="1:16" ht="20.100000000000001" customHeight="1">
      <c r="A100" s="228"/>
      <c r="B100" s="39"/>
      <c r="C100" s="30"/>
      <c r="D100" s="34"/>
      <c r="E100" s="35"/>
      <c r="F100" s="892" t="s">
        <v>158</v>
      </c>
      <c r="G100" s="893"/>
      <c r="H100" s="241">
        <f>SUM(H90:H99)</f>
        <v>373.79605000000004</v>
      </c>
      <c r="I100" s="242"/>
      <c r="J100" s="191"/>
      <c r="K100" s="191"/>
      <c r="L100" s="1"/>
      <c r="N100" s="167"/>
      <c r="O100" s="162"/>
      <c r="P100" s="162"/>
    </row>
    <row r="101" spans="1:16" ht="20.100000000000001" customHeight="1">
      <c r="A101" s="228"/>
      <c r="B101" s="39"/>
      <c r="C101" s="30"/>
      <c r="D101" s="34"/>
      <c r="E101" s="295"/>
      <c r="F101" s="900" t="s">
        <v>10</v>
      </c>
      <c r="G101" s="891"/>
      <c r="H101" s="243">
        <f>ROUNDUP(H100,0)</f>
        <v>374</v>
      </c>
      <c r="I101" s="243" t="s">
        <v>370</v>
      </c>
      <c r="J101" s="191"/>
      <c r="K101" s="191"/>
      <c r="L101" s="894"/>
      <c r="M101" s="895"/>
      <c r="N101" s="895"/>
      <c r="O101" s="896"/>
      <c r="P101" s="162"/>
    </row>
    <row r="102" spans="1:16" ht="20.100000000000001" customHeight="1">
      <c r="A102" s="228"/>
      <c r="B102" s="39"/>
      <c r="C102" s="104"/>
      <c r="D102" s="299"/>
      <c r="E102" s="897" t="s">
        <v>285</v>
      </c>
      <c r="F102" s="898"/>
      <c r="G102" s="899"/>
      <c r="H102" s="234">
        <f>H87+H101</f>
        <v>715</v>
      </c>
      <c r="I102" s="358" t="s">
        <v>367</v>
      </c>
      <c r="J102" s="359" t="s">
        <v>308</v>
      </c>
      <c r="K102" s="359"/>
      <c r="L102" s="173"/>
      <c r="M102" s="173"/>
      <c r="N102" s="173"/>
      <c r="O102" s="173"/>
      <c r="P102" s="162"/>
    </row>
    <row r="103" spans="1:16" ht="20.100000000000001" customHeight="1">
      <c r="A103" s="228"/>
      <c r="B103" s="232" t="s">
        <v>293</v>
      </c>
      <c r="C103" s="101" t="s">
        <v>249</v>
      </c>
      <c r="D103" s="34"/>
      <c r="E103" s="348"/>
      <c r="F103" s="357"/>
      <c r="G103" s="357"/>
      <c r="H103" s="195"/>
      <c r="I103" s="242"/>
      <c r="J103" s="151"/>
      <c r="K103" s="151"/>
      <c r="L103" s="1"/>
      <c r="N103" s="167"/>
      <c r="O103" s="162"/>
      <c r="P103" s="162"/>
    </row>
    <row r="104" spans="1:16" ht="20.100000000000001" customHeight="1">
      <c r="A104" s="228"/>
      <c r="B104" s="39"/>
      <c r="C104" s="101" t="s">
        <v>162</v>
      </c>
      <c r="D104" s="34"/>
      <c r="E104" s="35"/>
      <c r="F104" s="204"/>
      <c r="G104" s="200"/>
      <c r="H104" s="193"/>
      <c r="I104" s="185"/>
      <c r="J104" s="151"/>
      <c r="K104" s="151"/>
      <c r="L104" s="1"/>
      <c r="N104" s="167"/>
      <c r="O104" s="162"/>
      <c r="P104" s="162"/>
    </row>
    <row r="105" spans="1:16" ht="20.100000000000001" customHeight="1">
      <c r="A105" s="228"/>
      <c r="B105" s="39"/>
      <c r="C105" s="170" t="s">
        <v>149</v>
      </c>
      <c r="D105" s="34" t="s">
        <v>163</v>
      </c>
      <c r="E105" s="35">
        <v>3.05</v>
      </c>
      <c r="F105" s="205">
        <v>3.1</v>
      </c>
      <c r="G105" s="206"/>
      <c r="H105" s="193">
        <f t="shared" ref="H105:H116" si="7">F105*E105*8*2</f>
        <v>151.28</v>
      </c>
      <c r="I105" s="185" t="s">
        <v>366</v>
      </c>
      <c r="J105" s="151"/>
      <c r="K105" s="151"/>
      <c r="L105" s="1"/>
      <c r="N105" s="167"/>
      <c r="O105" s="162"/>
      <c r="P105" s="162"/>
    </row>
    <row r="106" spans="1:16" ht="20.100000000000001" customHeight="1">
      <c r="A106" s="228"/>
      <c r="B106" s="39"/>
      <c r="C106" s="170"/>
      <c r="D106" s="34" t="s">
        <v>163</v>
      </c>
      <c r="E106" s="35">
        <v>3.6</v>
      </c>
      <c r="F106" s="205">
        <v>3.1</v>
      </c>
      <c r="G106" s="206"/>
      <c r="H106" s="193">
        <f t="shared" si="7"/>
        <v>178.56</v>
      </c>
      <c r="I106" s="185" t="s">
        <v>366</v>
      </c>
      <c r="J106" s="151"/>
      <c r="K106" s="151"/>
      <c r="L106" s="1"/>
      <c r="N106" s="167"/>
      <c r="O106" s="162"/>
      <c r="P106" s="162"/>
    </row>
    <row r="107" spans="1:16" ht="20.100000000000001" customHeight="1">
      <c r="A107" s="228"/>
      <c r="B107" s="39"/>
      <c r="C107" s="170" t="s">
        <v>150</v>
      </c>
      <c r="D107" s="34" t="s">
        <v>163</v>
      </c>
      <c r="E107" s="35">
        <v>3.05</v>
      </c>
      <c r="F107" s="205">
        <v>3.1</v>
      </c>
      <c r="G107" s="206"/>
      <c r="H107" s="193">
        <f t="shared" si="7"/>
        <v>151.28</v>
      </c>
      <c r="I107" s="185" t="s">
        <v>366</v>
      </c>
      <c r="J107" s="151"/>
      <c r="K107" s="151"/>
      <c r="L107" s="1"/>
      <c r="N107" s="167"/>
      <c r="O107" s="162"/>
      <c r="P107" s="162"/>
    </row>
    <row r="108" spans="1:16" ht="20.100000000000001" customHeight="1">
      <c r="A108" s="228"/>
      <c r="B108" s="39"/>
      <c r="C108" s="170"/>
      <c r="D108" s="34" t="s">
        <v>163</v>
      </c>
      <c r="E108" s="35">
        <v>2.12</v>
      </c>
      <c r="F108" s="205">
        <v>3.1</v>
      </c>
      <c r="G108" s="206"/>
      <c r="H108" s="193">
        <f t="shared" si="7"/>
        <v>105.15200000000002</v>
      </c>
      <c r="I108" s="185" t="s">
        <v>366</v>
      </c>
      <c r="J108" s="151"/>
      <c r="K108" s="151"/>
      <c r="L108" s="1"/>
      <c r="N108" s="167"/>
      <c r="O108" s="162"/>
      <c r="P108" s="162"/>
    </row>
    <row r="109" spans="1:16" ht="20.100000000000001" customHeight="1">
      <c r="A109" s="228"/>
      <c r="B109" s="39"/>
      <c r="C109" s="846" t="s">
        <v>151</v>
      </c>
      <c r="D109" s="34" t="s">
        <v>163</v>
      </c>
      <c r="E109" s="35">
        <v>2.25</v>
      </c>
      <c r="F109" s="205">
        <v>3.1</v>
      </c>
      <c r="G109" s="206"/>
      <c r="H109" s="193">
        <f>F109*E109*8*2</f>
        <v>111.60000000000001</v>
      </c>
      <c r="I109" s="185" t="s">
        <v>366</v>
      </c>
      <c r="J109" s="151"/>
      <c r="K109" s="151"/>
      <c r="L109" s="1"/>
      <c r="N109" s="167"/>
      <c r="O109" s="162"/>
      <c r="P109" s="162"/>
    </row>
    <row r="110" spans="1:16" ht="20.100000000000001" customHeight="1">
      <c r="A110" s="228"/>
      <c r="B110" s="39"/>
      <c r="C110" s="846"/>
      <c r="D110" s="34" t="s">
        <v>163</v>
      </c>
      <c r="E110" s="35">
        <v>1.85</v>
      </c>
      <c r="F110" s="205">
        <v>3.1</v>
      </c>
      <c r="G110" s="206"/>
      <c r="H110" s="193">
        <f t="shared" si="7"/>
        <v>91.76</v>
      </c>
      <c r="I110" s="185" t="s">
        <v>366</v>
      </c>
      <c r="J110" s="151"/>
      <c r="K110" s="151"/>
      <c r="L110" s="1"/>
      <c r="N110" s="167"/>
      <c r="O110" s="162"/>
      <c r="P110" s="162"/>
    </row>
    <row r="111" spans="1:16" ht="20.100000000000001" customHeight="1">
      <c r="A111" s="228"/>
      <c r="B111" s="39"/>
      <c r="C111" s="170" t="s">
        <v>159</v>
      </c>
      <c r="D111" s="34" t="s">
        <v>163</v>
      </c>
      <c r="E111" s="35">
        <v>3.05</v>
      </c>
      <c r="F111" s="205">
        <v>3.1</v>
      </c>
      <c r="G111" s="206"/>
      <c r="H111" s="193">
        <f t="shared" si="7"/>
        <v>151.28</v>
      </c>
      <c r="I111" s="185" t="s">
        <v>366</v>
      </c>
      <c r="J111" s="151"/>
      <c r="K111" s="151"/>
      <c r="L111" s="1"/>
      <c r="N111" s="167"/>
      <c r="O111" s="162"/>
      <c r="P111" s="162"/>
    </row>
    <row r="112" spans="1:16" ht="20.100000000000001" customHeight="1">
      <c r="A112" s="228"/>
      <c r="B112" s="39"/>
      <c r="C112" s="170"/>
      <c r="D112" s="34" t="s">
        <v>163</v>
      </c>
      <c r="E112" s="35">
        <v>3.05</v>
      </c>
      <c r="F112" s="205">
        <v>3.1</v>
      </c>
      <c r="G112" s="206"/>
      <c r="H112" s="193">
        <f t="shared" si="7"/>
        <v>151.28</v>
      </c>
      <c r="I112" s="185" t="s">
        <v>366</v>
      </c>
      <c r="J112" s="151"/>
      <c r="K112" s="151"/>
      <c r="L112" s="1"/>
      <c r="N112" s="167"/>
      <c r="O112" s="162"/>
      <c r="P112" s="162"/>
    </row>
    <row r="113" spans="1:16" ht="20.100000000000001" customHeight="1">
      <c r="A113" s="228"/>
      <c r="B113" s="39"/>
      <c r="C113" s="170" t="s">
        <v>152</v>
      </c>
      <c r="D113" s="34" t="s">
        <v>163</v>
      </c>
      <c r="E113" s="35">
        <v>1.08</v>
      </c>
      <c r="F113" s="205">
        <v>2.2000000000000002</v>
      </c>
      <c r="G113" s="206"/>
      <c r="H113" s="193">
        <f t="shared" si="7"/>
        <v>38.016000000000005</v>
      </c>
      <c r="I113" s="185" t="s">
        <v>366</v>
      </c>
      <c r="J113" s="151"/>
      <c r="K113" s="151"/>
      <c r="L113" s="1"/>
      <c r="N113" s="167"/>
      <c r="O113" s="162"/>
      <c r="P113" s="162"/>
    </row>
    <row r="114" spans="1:16" ht="20.100000000000001" customHeight="1">
      <c r="A114" s="228"/>
      <c r="B114" s="39"/>
      <c r="C114" s="170"/>
      <c r="D114" s="34" t="s">
        <v>163</v>
      </c>
      <c r="E114" s="35">
        <v>1.07</v>
      </c>
      <c r="F114" s="205">
        <v>2.2000000000000002</v>
      </c>
      <c r="G114" s="206"/>
      <c r="H114" s="193">
        <f t="shared" si="7"/>
        <v>37.664000000000009</v>
      </c>
      <c r="I114" s="185" t="s">
        <v>366</v>
      </c>
      <c r="J114" s="151"/>
      <c r="K114" s="151"/>
      <c r="L114" s="1"/>
      <c r="N114" s="167"/>
      <c r="O114" s="162"/>
      <c r="P114" s="162"/>
    </row>
    <row r="115" spans="1:16" ht="20.100000000000001" customHeight="1">
      <c r="A115" s="228"/>
      <c r="B115" s="39"/>
      <c r="C115" s="170" t="s">
        <v>153</v>
      </c>
      <c r="D115" s="34" t="s">
        <v>163</v>
      </c>
      <c r="E115" s="35">
        <v>1.97</v>
      </c>
      <c r="F115" s="205">
        <v>2.2000000000000002</v>
      </c>
      <c r="G115" s="206"/>
      <c r="H115" s="193">
        <f t="shared" si="7"/>
        <v>69.344000000000008</v>
      </c>
      <c r="I115" s="185" t="s">
        <v>366</v>
      </c>
      <c r="J115" s="151"/>
      <c r="K115" s="151"/>
      <c r="L115" s="1"/>
      <c r="N115" s="167"/>
      <c r="O115" s="162"/>
      <c r="P115" s="162"/>
    </row>
    <row r="116" spans="1:16" ht="20.100000000000001" customHeight="1">
      <c r="A116" s="228"/>
      <c r="B116" s="39"/>
      <c r="C116" s="170"/>
      <c r="D116" s="34" t="s">
        <v>163</v>
      </c>
      <c r="E116" s="35">
        <v>0.95</v>
      </c>
      <c r="F116" s="205">
        <v>2.2000000000000002</v>
      </c>
      <c r="G116" s="206"/>
      <c r="H116" s="193">
        <f t="shared" si="7"/>
        <v>33.44</v>
      </c>
      <c r="I116" s="185" t="s">
        <v>366</v>
      </c>
      <c r="J116" s="151"/>
      <c r="K116" s="151"/>
      <c r="L116" s="1"/>
      <c r="N116" s="167"/>
      <c r="O116" s="162"/>
      <c r="P116" s="162"/>
    </row>
    <row r="117" spans="1:16" ht="20.100000000000001" customHeight="1">
      <c r="A117" s="228"/>
      <c r="B117" s="39"/>
      <c r="C117" s="170" t="s">
        <v>251</v>
      </c>
      <c r="D117" s="207">
        <v>2</v>
      </c>
      <c r="E117" s="185">
        <v>5.08</v>
      </c>
      <c r="F117" s="205">
        <v>3.1</v>
      </c>
      <c r="G117" s="206"/>
      <c r="H117" s="193">
        <f t="shared" ref="H117:H123" si="8">F117*E117*D117</f>
        <v>31.496000000000002</v>
      </c>
      <c r="I117" s="185" t="s">
        <v>366</v>
      </c>
      <c r="J117" s="151"/>
      <c r="K117" s="151"/>
      <c r="L117" s="1"/>
      <c r="N117" s="167"/>
      <c r="O117" s="162"/>
      <c r="P117" s="162"/>
    </row>
    <row r="118" spans="1:16" ht="20.100000000000001" customHeight="1">
      <c r="A118" s="228"/>
      <c r="B118" s="39"/>
      <c r="C118" s="170"/>
      <c r="D118" s="34">
        <v>2</v>
      </c>
      <c r="E118" s="35">
        <v>2.15</v>
      </c>
      <c r="F118" s="205">
        <v>3.1</v>
      </c>
      <c r="G118" s="206"/>
      <c r="H118" s="193">
        <f t="shared" si="8"/>
        <v>13.33</v>
      </c>
      <c r="I118" s="185" t="s">
        <v>366</v>
      </c>
      <c r="J118" s="151"/>
      <c r="K118" s="151"/>
      <c r="L118" s="1"/>
      <c r="N118" s="167"/>
      <c r="O118" s="162"/>
      <c r="P118" s="162"/>
    </row>
    <row r="119" spans="1:16" ht="20.100000000000001" customHeight="1">
      <c r="A119" s="228"/>
      <c r="B119" s="39"/>
      <c r="C119" s="170" t="s">
        <v>256</v>
      </c>
      <c r="D119" s="207">
        <v>2</v>
      </c>
      <c r="E119" s="185">
        <v>2.4300000000000002</v>
      </c>
      <c r="F119" s="205">
        <v>3.1</v>
      </c>
      <c r="G119" s="206"/>
      <c r="H119" s="193"/>
      <c r="I119" s="185"/>
      <c r="J119" s="151"/>
      <c r="K119" s="151"/>
      <c r="L119" s="1"/>
      <c r="N119" s="167"/>
      <c r="O119" s="162"/>
      <c r="P119" s="162"/>
    </row>
    <row r="120" spans="1:16" ht="20.100000000000001" customHeight="1">
      <c r="A120" s="228"/>
      <c r="B120" s="39"/>
      <c r="C120" s="170"/>
      <c r="D120" s="34"/>
      <c r="E120" s="35"/>
      <c r="F120" s="205"/>
      <c r="G120" s="206"/>
      <c r="H120" s="193"/>
      <c r="I120" s="185"/>
      <c r="J120" s="151"/>
      <c r="K120" s="151"/>
      <c r="L120" s="1"/>
      <c r="N120" s="167"/>
      <c r="O120" s="162"/>
      <c r="P120" s="162"/>
    </row>
    <row r="121" spans="1:16" ht="20.100000000000001" customHeight="1">
      <c r="A121" s="228"/>
      <c r="B121" s="39"/>
      <c r="C121" s="170" t="s">
        <v>154</v>
      </c>
      <c r="D121" s="34">
        <v>2</v>
      </c>
      <c r="E121" s="35">
        <v>3.2</v>
      </c>
      <c r="F121" s="205">
        <v>8.5</v>
      </c>
      <c r="G121" s="206"/>
      <c r="H121" s="193">
        <f t="shared" si="8"/>
        <v>54.400000000000006</v>
      </c>
      <c r="I121" s="185" t="s">
        <v>366</v>
      </c>
      <c r="J121" s="151"/>
      <c r="K121" s="151"/>
      <c r="L121" s="1"/>
      <c r="N121" s="167"/>
      <c r="O121" s="162"/>
      <c r="P121" s="162"/>
    </row>
    <row r="122" spans="1:16" ht="20.100000000000001" customHeight="1">
      <c r="A122" s="228"/>
      <c r="B122" s="39"/>
      <c r="C122" s="170" t="s">
        <v>155</v>
      </c>
      <c r="D122" s="34">
        <v>2</v>
      </c>
      <c r="E122" s="35">
        <v>2.15</v>
      </c>
      <c r="F122" s="205">
        <v>1.1000000000000001</v>
      </c>
      <c r="G122" s="206"/>
      <c r="H122" s="193">
        <f t="shared" si="8"/>
        <v>4.7300000000000004</v>
      </c>
      <c r="I122" s="185" t="s">
        <v>366</v>
      </c>
      <c r="J122" s="151"/>
      <c r="K122" s="151"/>
      <c r="L122" s="1"/>
      <c r="N122" s="167"/>
      <c r="O122" s="162"/>
      <c r="P122" s="162"/>
    </row>
    <row r="123" spans="1:16" ht="20.100000000000001" customHeight="1">
      <c r="A123" s="228"/>
      <c r="B123" s="39"/>
      <c r="C123" s="170"/>
      <c r="D123" s="34">
        <v>2</v>
      </c>
      <c r="E123" s="35">
        <v>1.2</v>
      </c>
      <c r="F123" s="205">
        <v>1.1000000000000001</v>
      </c>
      <c r="G123" s="206"/>
      <c r="H123" s="193">
        <f t="shared" si="8"/>
        <v>2.64</v>
      </c>
      <c r="I123" s="185" t="s">
        <v>366</v>
      </c>
      <c r="J123" s="151"/>
      <c r="K123" s="151"/>
      <c r="L123" s="1"/>
      <c r="N123" s="167"/>
      <c r="O123" s="162"/>
      <c r="P123" s="162"/>
    </row>
    <row r="124" spans="1:16" ht="20.100000000000001" customHeight="1">
      <c r="A124" s="228"/>
      <c r="B124" s="39"/>
      <c r="C124" s="170" t="s">
        <v>164</v>
      </c>
      <c r="D124" s="34" t="s">
        <v>165</v>
      </c>
      <c r="E124" s="35">
        <v>2.7</v>
      </c>
      <c r="F124" s="205">
        <v>0.9</v>
      </c>
      <c r="G124" s="206"/>
      <c r="H124" s="193">
        <f>F124*E124*2*4</f>
        <v>19.440000000000001</v>
      </c>
      <c r="I124" s="185" t="s">
        <v>366</v>
      </c>
      <c r="J124" s="151"/>
      <c r="K124" s="151"/>
      <c r="L124" s="1"/>
      <c r="N124" s="167"/>
      <c r="O124" s="162"/>
      <c r="P124" s="162"/>
    </row>
    <row r="125" spans="1:16" ht="20.100000000000001" customHeight="1">
      <c r="A125" s="228"/>
      <c r="B125" s="39"/>
      <c r="C125" s="248" t="s">
        <v>167</v>
      </c>
      <c r="D125" s="34"/>
      <c r="E125" s="35"/>
      <c r="F125" s="205"/>
      <c r="G125" s="206"/>
      <c r="H125" s="189"/>
      <c r="I125" s="229"/>
      <c r="J125" s="191"/>
      <c r="K125" s="191"/>
      <c r="L125" s="1"/>
      <c r="N125" s="167"/>
      <c r="O125" s="162"/>
      <c r="P125" s="162"/>
    </row>
    <row r="126" spans="1:16" ht="20.100000000000001" customHeight="1">
      <c r="A126" s="228"/>
      <c r="B126" s="39"/>
      <c r="C126" s="170" t="s">
        <v>149</v>
      </c>
      <c r="D126" s="34"/>
      <c r="E126" s="35"/>
      <c r="F126" s="205"/>
      <c r="G126" s="206"/>
      <c r="H126" s="189"/>
      <c r="I126" s="229"/>
      <c r="J126" s="191"/>
      <c r="K126" s="191"/>
      <c r="L126" s="1"/>
      <c r="N126" s="167"/>
      <c r="O126" s="162"/>
      <c r="P126" s="162"/>
    </row>
    <row r="127" spans="1:16" ht="20.100000000000001" customHeight="1">
      <c r="A127" s="228"/>
      <c r="B127" s="39"/>
      <c r="C127" s="170" t="s">
        <v>168</v>
      </c>
      <c r="D127" s="34">
        <v>-8</v>
      </c>
      <c r="E127" s="35">
        <v>1</v>
      </c>
      <c r="F127" s="205">
        <v>2.1</v>
      </c>
      <c r="G127" s="206"/>
      <c r="H127" s="193">
        <f>F127*E127*D127</f>
        <v>-16.8</v>
      </c>
      <c r="I127" s="185" t="s">
        <v>366</v>
      </c>
      <c r="J127" s="151"/>
      <c r="K127" s="151"/>
      <c r="L127" s="1"/>
      <c r="N127" s="167"/>
      <c r="O127" s="162"/>
      <c r="P127" s="162"/>
    </row>
    <row r="128" spans="1:16" ht="20.100000000000001" customHeight="1">
      <c r="A128" s="228"/>
      <c r="B128" s="39"/>
      <c r="C128" s="170" t="s">
        <v>171</v>
      </c>
      <c r="D128" s="34">
        <v>-8</v>
      </c>
      <c r="E128" s="35">
        <v>1.5</v>
      </c>
      <c r="F128" s="205">
        <v>1.2</v>
      </c>
      <c r="G128" s="206"/>
      <c r="H128" s="193">
        <f>F128*E128*D128</f>
        <v>-14.399999999999999</v>
      </c>
      <c r="I128" s="185" t="s">
        <v>366</v>
      </c>
      <c r="J128" s="151"/>
      <c r="K128" s="151"/>
      <c r="L128" s="1"/>
      <c r="N128" s="167"/>
      <c r="O128" s="162"/>
      <c r="P128" s="162"/>
    </row>
    <row r="129" spans="1:16" ht="20.100000000000001" customHeight="1">
      <c r="A129" s="228"/>
      <c r="B129" s="39"/>
      <c r="C129" s="170" t="s">
        <v>159</v>
      </c>
      <c r="D129" s="34"/>
      <c r="E129" s="35"/>
      <c r="F129" s="205"/>
      <c r="G129" s="206"/>
      <c r="H129" s="189"/>
      <c r="I129" s="229"/>
      <c r="J129" s="191"/>
      <c r="K129" s="191"/>
      <c r="L129" s="1"/>
      <c r="N129" s="167"/>
      <c r="O129" s="162"/>
      <c r="P129" s="162"/>
    </row>
    <row r="130" spans="1:16" ht="20.100000000000001" customHeight="1">
      <c r="A130" s="228"/>
      <c r="B130" s="39"/>
      <c r="C130" s="170" t="s">
        <v>168</v>
      </c>
      <c r="D130" s="34">
        <v>-8</v>
      </c>
      <c r="E130" s="35">
        <v>1</v>
      </c>
      <c r="F130" s="205">
        <v>2.1</v>
      </c>
      <c r="G130" s="206"/>
      <c r="H130" s="193">
        <f>F130*E130*D130</f>
        <v>-16.8</v>
      </c>
      <c r="I130" s="185" t="s">
        <v>366</v>
      </c>
      <c r="J130" s="151"/>
      <c r="K130" s="151"/>
      <c r="L130" s="1"/>
      <c r="N130" s="167"/>
      <c r="O130" s="162"/>
      <c r="P130" s="162"/>
    </row>
    <row r="131" spans="1:16" ht="20.100000000000001" customHeight="1">
      <c r="A131" s="228"/>
      <c r="B131" s="39"/>
      <c r="C131" s="170" t="s">
        <v>173</v>
      </c>
      <c r="D131" s="34">
        <v>-8</v>
      </c>
      <c r="E131" s="35">
        <v>1</v>
      </c>
      <c r="F131" s="205">
        <v>1.2</v>
      </c>
      <c r="G131" s="206"/>
      <c r="H131" s="193">
        <f>F131*E131*D131</f>
        <v>-9.6</v>
      </c>
      <c r="I131" s="185" t="s">
        <v>366</v>
      </c>
      <c r="J131" s="151"/>
      <c r="K131" s="151"/>
      <c r="L131" s="1"/>
      <c r="N131" s="167"/>
      <c r="O131" s="162"/>
      <c r="P131" s="162"/>
    </row>
    <row r="132" spans="1:16" ht="20.100000000000001" customHeight="1">
      <c r="A132" s="228"/>
      <c r="B132" s="39"/>
      <c r="C132" s="170" t="s">
        <v>174</v>
      </c>
      <c r="D132" s="34">
        <v>-8</v>
      </c>
      <c r="E132" s="35">
        <v>0.6</v>
      </c>
      <c r="F132" s="205">
        <v>1.2</v>
      </c>
      <c r="G132" s="206"/>
      <c r="H132" s="193">
        <f>F132*E132*D132</f>
        <v>-5.76</v>
      </c>
      <c r="I132" s="185" t="s">
        <v>366</v>
      </c>
      <c r="J132" s="151"/>
      <c r="K132" s="151"/>
      <c r="L132" s="1"/>
      <c r="N132" s="167"/>
      <c r="O132" s="162"/>
      <c r="P132" s="162"/>
    </row>
    <row r="133" spans="1:16" ht="20.100000000000001" customHeight="1">
      <c r="A133" s="228"/>
      <c r="B133" s="39"/>
      <c r="C133" s="170" t="s">
        <v>172</v>
      </c>
      <c r="D133" s="34"/>
      <c r="E133" s="35"/>
      <c r="F133" s="205"/>
      <c r="G133" s="206"/>
      <c r="H133" s="189"/>
      <c r="I133" s="229"/>
      <c r="J133" s="191"/>
      <c r="K133" s="191"/>
      <c r="L133" s="1"/>
      <c r="N133" s="167"/>
      <c r="O133" s="162"/>
      <c r="P133" s="162"/>
    </row>
    <row r="134" spans="1:16" ht="20.100000000000001" customHeight="1">
      <c r="A134" s="228"/>
      <c r="B134" s="39"/>
      <c r="C134" s="170" t="s">
        <v>168</v>
      </c>
      <c r="D134" s="34">
        <v>-8</v>
      </c>
      <c r="E134" s="35">
        <v>1</v>
      </c>
      <c r="F134" s="205">
        <v>2.1</v>
      </c>
      <c r="G134" s="206"/>
      <c r="H134" s="193">
        <f>F134*E134*D134</f>
        <v>-16.8</v>
      </c>
      <c r="I134" s="185" t="s">
        <v>366</v>
      </c>
      <c r="J134" s="151"/>
      <c r="K134" s="151"/>
      <c r="L134" s="1"/>
      <c r="N134" s="167"/>
      <c r="O134" s="162"/>
      <c r="P134" s="162"/>
    </row>
    <row r="135" spans="1:16" ht="20.100000000000001" customHeight="1">
      <c r="A135" s="228"/>
      <c r="B135" s="39"/>
      <c r="C135" s="170" t="s">
        <v>173</v>
      </c>
      <c r="D135" s="34">
        <v>-8</v>
      </c>
      <c r="E135" s="35">
        <v>1</v>
      </c>
      <c r="F135" s="205">
        <v>1.2</v>
      </c>
      <c r="G135" s="206"/>
      <c r="H135" s="193">
        <f>F135*E135*D135</f>
        <v>-9.6</v>
      </c>
      <c r="I135" s="185" t="s">
        <v>366</v>
      </c>
      <c r="J135" s="151"/>
      <c r="K135" s="151"/>
      <c r="L135" s="1"/>
      <c r="N135" s="167"/>
      <c r="O135" s="162"/>
      <c r="P135" s="162"/>
    </row>
    <row r="136" spans="1:16" ht="20.100000000000001" customHeight="1">
      <c r="A136" s="228"/>
      <c r="B136" s="39"/>
      <c r="C136" s="170" t="s">
        <v>151</v>
      </c>
      <c r="D136" s="34"/>
      <c r="E136" s="35"/>
      <c r="F136" s="205"/>
      <c r="G136" s="206"/>
      <c r="H136" s="189"/>
      <c r="I136" s="229"/>
      <c r="J136" s="191"/>
      <c r="K136" s="191"/>
      <c r="L136" s="1"/>
      <c r="N136" s="167"/>
      <c r="O136" s="162"/>
      <c r="P136" s="162"/>
    </row>
    <row r="137" spans="1:16" ht="20.100000000000001" customHeight="1">
      <c r="A137" s="228"/>
      <c r="B137" s="39"/>
      <c r="C137" s="170" t="s">
        <v>168</v>
      </c>
      <c r="D137" s="34">
        <v>-8</v>
      </c>
      <c r="E137" s="35">
        <v>1</v>
      </c>
      <c r="F137" s="205">
        <v>2.1</v>
      </c>
      <c r="G137" s="206"/>
      <c r="H137" s="193">
        <f>F137*E137*D137</f>
        <v>-16.8</v>
      </c>
      <c r="I137" s="185" t="s">
        <v>366</v>
      </c>
      <c r="J137" s="151"/>
      <c r="K137" s="151"/>
      <c r="L137" s="1"/>
      <c r="N137" s="167"/>
      <c r="O137" s="162"/>
      <c r="P137" s="162"/>
    </row>
    <row r="138" spans="1:16" ht="20.100000000000001" customHeight="1">
      <c r="A138" s="228"/>
      <c r="B138" s="39"/>
      <c r="C138" s="170" t="s">
        <v>169</v>
      </c>
      <c r="D138" s="34">
        <v>-8</v>
      </c>
      <c r="E138" s="35">
        <v>0.8</v>
      </c>
      <c r="F138" s="205">
        <v>2.1</v>
      </c>
      <c r="G138" s="206"/>
      <c r="H138" s="193">
        <f>F138*E138*D138</f>
        <v>-13.440000000000001</v>
      </c>
      <c r="I138" s="185" t="s">
        <v>366</v>
      </c>
      <c r="J138" s="151"/>
      <c r="K138" s="151"/>
      <c r="L138" s="1"/>
      <c r="N138" s="167"/>
      <c r="O138" s="162"/>
      <c r="P138" s="162"/>
    </row>
    <row r="139" spans="1:16" ht="20.100000000000001" customHeight="1">
      <c r="A139" s="228"/>
      <c r="B139" s="39"/>
      <c r="C139" s="170" t="s">
        <v>152</v>
      </c>
      <c r="D139" s="34"/>
      <c r="E139" s="35"/>
      <c r="F139" s="205"/>
      <c r="G139" s="206"/>
      <c r="H139" s="189"/>
      <c r="I139" s="229"/>
      <c r="J139" s="191"/>
      <c r="K139" s="191"/>
      <c r="L139" s="1"/>
      <c r="N139" s="167"/>
      <c r="O139" s="162"/>
      <c r="P139" s="162"/>
    </row>
    <row r="140" spans="1:16" ht="20.100000000000001" customHeight="1">
      <c r="A140" s="228"/>
      <c r="B140" s="39"/>
      <c r="C140" s="170" t="s">
        <v>169</v>
      </c>
      <c r="D140" s="34">
        <v>-8</v>
      </c>
      <c r="E140" s="35">
        <v>0.8</v>
      </c>
      <c r="F140" s="205">
        <v>2.1</v>
      </c>
      <c r="G140" s="206"/>
      <c r="H140" s="193">
        <f>F140*E140*D140</f>
        <v>-13.440000000000001</v>
      </c>
      <c r="I140" s="185" t="s">
        <v>366</v>
      </c>
      <c r="J140" s="151"/>
      <c r="K140" s="151"/>
      <c r="L140" s="1"/>
      <c r="N140" s="167"/>
      <c r="O140" s="162"/>
      <c r="P140" s="162"/>
    </row>
    <row r="141" spans="1:16" ht="20.100000000000001" customHeight="1">
      <c r="A141" s="228"/>
      <c r="B141" s="39"/>
      <c r="C141" s="170" t="s">
        <v>174</v>
      </c>
      <c r="D141" s="34">
        <v>-8</v>
      </c>
      <c r="E141" s="35">
        <v>0.6</v>
      </c>
      <c r="F141" s="205">
        <v>1.2</v>
      </c>
      <c r="G141" s="206"/>
      <c r="H141" s="193">
        <f>F141*E141*D141</f>
        <v>-5.76</v>
      </c>
      <c r="I141" s="185" t="s">
        <v>366</v>
      </c>
      <c r="J141" s="151"/>
      <c r="K141" s="151"/>
      <c r="L141" s="1"/>
      <c r="N141" s="167"/>
      <c r="O141" s="162"/>
      <c r="P141" s="162"/>
    </row>
    <row r="142" spans="1:16" ht="20.100000000000001" customHeight="1">
      <c r="A142" s="228"/>
      <c r="B142" s="39"/>
      <c r="C142" s="170" t="s">
        <v>153</v>
      </c>
      <c r="D142" s="34"/>
      <c r="E142" s="35"/>
      <c r="F142" s="205"/>
      <c r="G142" s="206"/>
      <c r="H142" s="189"/>
      <c r="I142" s="229"/>
      <c r="J142" s="191"/>
      <c r="K142" s="191"/>
      <c r="L142" s="1"/>
      <c r="N142" s="167"/>
      <c r="O142" s="162"/>
      <c r="P142" s="162"/>
    </row>
    <row r="143" spans="1:16" ht="21" customHeight="1">
      <c r="A143" s="228"/>
      <c r="B143" s="39"/>
      <c r="C143" s="170" t="s">
        <v>169</v>
      </c>
      <c r="D143" s="34">
        <v>-8</v>
      </c>
      <c r="E143" s="35">
        <v>0.8</v>
      </c>
      <c r="F143" s="205">
        <v>2.1</v>
      </c>
      <c r="G143" s="206"/>
      <c r="H143" s="193">
        <f>F143*E143*D143</f>
        <v>-13.440000000000001</v>
      </c>
      <c r="I143" s="185" t="s">
        <v>366</v>
      </c>
      <c r="J143" s="151"/>
      <c r="K143" s="151"/>
      <c r="L143" s="1"/>
      <c r="N143" s="167"/>
      <c r="O143" s="162"/>
      <c r="P143" s="162"/>
    </row>
    <row r="144" spans="1:16" ht="20.100000000000001" customHeight="1">
      <c r="A144" s="228"/>
      <c r="B144" s="39"/>
      <c r="C144" s="170" t="s">
        <v>174</v>
      </c>
      <c r="D144" s="34">
        <v>-8</v>
      </c>
      <c r="E144" s="35">
        <v>0.6</v>
      </c>
      <c r="F144" s="205">
        <v>1.2</v>
      </c>
      <c r="G144" s="206"/>
      <c r="H144" s="193">
        <f>F144*E144*D144</f>
        <v>-5.76</v>
      </c>
      <c r="I144" s="185" t="s">
        <v>366</v>
      </c>
      <c r="J144" s="151"/>
      <c r="K144" s="151"/>
      <c r="L144" s="1"/>
      <c r="N144" s="167"/>
      <c r="O144" s="162"/>
      <c r="P144" s="162"/>
    </row>
    <row r="145" spans="1:16" ht="20.100000000000001" customHeight="1">
      <c r="A145" s="228"/>
      <c r="B145" s="39"/>
      <c r="C145" s="170"/>
      <c r="D145" s="34"/>
      <c r="E145" s="35"/>
      <c r="F145" s="850" t="s">
        <v>160</v>
      </c>
      <c r="G145" s="851"/>
      <c r="H145" s="237">
        <f>SUM(H105:H144)</f>
        <v>1238.2920000000006</v>
      </c>
      <c r="I145" s="185" t="s">
        <v>366</v>
      </c>
      <c r="J145" s="247"/>
      <c r="K145" s="191"/>
      <c r="L145" s="1"/>
      <c r="N145" s="167"/>
      <c r="O145" s="162"/>
      <c r="P145" s="162"/>
    </row>
    <row r="146" spans="1:16" ht="20.100000000000001" customHeight="1">
      <c r="A146" s="228"/>
      <c r="B146" s="39"/>
      <c r="C146" s="360"/>
      <c r="D146" s="299"/>
      <c r="E146" s="295"/>
      <c r="F146" s="890" t="s">
        <v>10</v>
      </c>
      <c r="G146" s="891"/>
      <c r="H146" s="237">
        <v>1240</v>
      </c>
      <c r="I146" s="234" t="s">
        <v>371</v>
      </c>
      <c r="J146" s="359"/>
      <c r="K146" s="351"/>
      <c r="L146" s="1"/>
      <c r="N146" s="167"/>
      <c r="O146" s="162"/>
      <c r="P146" s="162"/>
    </row>
    <row r="147" spans="1:16" ht="20.100000000000001" customHeight="1">
      <c r="A147" s="228"/>
      <c r="B147" s="232" t="s">
        <v>294</v>
      </c>
      <c r="C147" s="101" t="s">
        <v>147</v>
      </c>
      <c r="D147" s="34"/>
      <c r="E147" s="35"/>
      <c r="F147" s="204"/>
      <c r="G147" s="200"/>
      <c r="H147" s="193"/>
      <c r="I147" s="185"/>
      <c r="J147" s="151"/>
      <c r="K147" s="151"/>
      <c r="L147" s="1"/>
      <c r="N147" s="167"/>
      <c r="O147" s="162"/>
      <c r="P147" s="162"/>
    </row>
    <row r="148" spans="1:16" ht="20.100000000000001" customHeight="1">
      <c r="A148" s="228"/>
      <c r="B148" s="39"/>
      <c r="C148" s="101" t="s">
        <v>162</v>
      </c>
      <c r="D148" s="34"/>
      <c r="E148" s="35"/>
      <c r="F148" s="204"/>
      <c r="G148" s="200"/>
      <c r="H148" s="193"/>
      <c r="I148" s="185"/>
      <c r="J148" s="151"/>
      <c r="K148" s="151"/>
      <c r="L148" s="1"/>
      <c r="N148" s="167"/>
      <c r="O148" s="162"/>
      <c r="P148" s="162"/>
    </row>
    <row r="149" spans="1:16" ht="20.100000000000001" customHeight="1">
      <c r="A149" s="228"/>
      <c r="B149" s="39"/>
      <c r="C149" s="170" t="s">
        <v>149</v>
      </c>
      <c r="D149" s="34" t="s">
        <v>247</v>
      </c>
      <c r="E149" s="35">
        <v>3.05</v>
      </c>
      <c r="F149" s="205">
        <v>3.1</v>
      </c>
      <c r="G149" s="206"/>
      <c r="H149" s="193">
        <f>F149*E149*8*2</f>
        <v>151.28</v>
      </c>
      <c r="I149" s="185" t="s">
        <v>366</v>
      </c>
      <c r="J149" s="151"/>
      <c r="K149" s="151"/>
      <c r="L149" s="1"/>
      <c r="N149" s="167"/>
      <c r="O149" s="162"/>
      <c r="P149" s="162"/>
    </row>
    <row r="150" spans="1:16" ht="20.100000000000001" customHeight="1">
      <c r="A150" s="228"/>
      <c r="B150" s="39"/>
      <c r="C150" s="170"/>
      <c r="D150" s="34" t="s">
        <v>247</v>
      </c>
      <c r="E150" s="35">
        <v>3.75</v>
      </c>
      <c r="F150" s="205">
        <v>3.1</v>
      </c>
      <c r="G150" s="206"/>
      <c r="H150" s="193">
        <f>F150*E150*8*2</f>
        <v>186</v>
      </c>
      <c r="I150" s="185" t="s">
        <v>366</v>
      </c>
      <c r="J150" s="151"/>
      <c r="K150" s="151"/>
      <c r="L150" s="1"/>
      <c r="N150" s="167"/>
      <c r="O150" s="162"/>
      <c r="P150" s="162"/>
    </row>
    <row r="151" spans="1:16" ht="20.100000000000001" customHeight="1">
      <c r="A151" s="228"/>
      <c r="B151" s="39"/>
      <c r="C151" s="170" t="s">
        <v>150</v>
      </c>
      <c r="D151" s="34" t="s">
        <v>247</v>
      </c>
      <c r="E151" s="35">
        <v>3.05</v>
      </c>
      <c r="F151" s="205">
        <v>3.1</v>
      </c>
      <c r="G151" s="206"/>
      <c r="H151" s="193">
        <f>F151*E151*8*2</f>
        <v>151.28</v>
      </c>
      <c r="I151" s="185" t="s">
        <v>366</v>
      </c>
      <c r="J151" s="151"/>
      <c r="K151" s="151"/>
      <c r="L151" s="1"/>
      <c r="N151" s="167"/>
      <c r="O151" s="162"/>
      <c r="P151" s="162"/>
    </row>
    <row r="152" spans="1:16" ht="20.100000000000001" customHeight="1">
      <c r="A152" s="228"/>
      <c r="B152" s="39"/>
      <c r="C152" s="170"/>
      <c r="D152" s="34" t="s">
        <v>247</v>
      </c>
      <c r="E152" s="35">
        <v>3.35</v>
      </c>
      <c r="F152" s="205">
        <v>3.1</v>
      </c>
      <c r="G152" s="206"/>
      <c r="H152" s="193">
        <f>F152*E152*8*2</f>
        <v>166.16</v>
      </c>
      <c r="I152" s="185" t="s">
        <v>366</v>
      </c>
      <c r="J152" s="151"/>
      <c r="K152" s="151"/>
      <c r="L152" s="1"/>
      <c r="N152" s="167"/>
      <c r="O152" s="162"/>
      <c r="P152" s="162"/>
    </row>
    <row r="153" spans="1:16" ht="20.100000000000001" customHeight="1">
      <c r="A153" s="228"/>
      <c r="B153" s="39"/>
      <c r="C153" s="170" t="s">
        <v>151</v>
      </c>
      <c r="D153" s="34" t="s">
        <v>247</v>
      </c>
      <c r="E153" s="35">
        <v>2.52</v>
      </c>
      <c r="F153" s="205">
        <v>3.1</v>
      </c>
      <c r="G153" s="206"/>
      <c r="H153" s="193">
        <f t="shared" ref="H153:H158" si="9">F153*E153*8*2</f>
        <v>124.992</v>
      </c>
      <c r="I153" s="185" t="s">
        <v>366</v>
      </c>
      <c r="J153" s="151"/>
      <c r="K153" s="151"/>
      <c r="L153" s="1"/>
      <c r="N153" s="167"/>
      <c r="O153" s="162"/>
      <c r="P153" s="162"/>
    </row>
    <row r="154" spans="1:16" ht="21.75" customHeight="1">
      <c r="A154" s="228"/>
      <c r="B154" s="39"/>
      <c r="C154" s="170"/>
      <c r="D154" s="34" t="s">
        <v>247</v>
      </c>
      <c r="E154" s="35">
        <v>0.98</v>
      </c>
      <c r="F154" s="205">
        <v>3.1</v>
      </c>
      <c r="G154" s="206"/>
      <c r="H154" s="193">
        <f>F154*E154*8*2</f>
        <v>48.607999999999997</v>
      </c>
      <c r="I154" s="185" t="s">
        <v>366</v>
      </c>
      <c r="J154" s="151"/>
      <c r="K154" s="151"/>
      <c r="L154" s="1"/>
      <c r="N154" s="167"/>
      <c r="O154" s="162"/>
      <c r="P154" s="162"/>
    </row>
    <row r="155" spans="1:16" ht="20.100000000000001" customHeight="1">
      <c r="A155" s="228"/>
      <c r="B155" s="39"/>
      <c r="C155" s="170" t="s">
        <v>152</v>
      </c>
      <c r="D155" s="34" t="s">
        <v>247</v>
      </c>
      <c r="E155" s="35">
        <v>1.22</v>
      </c>
      <c r="F155" s="205">
        <v>2.2000000000000002</v>
      </c>
      <c r="G155" s="206"/>
      <c r="H155" s="193">
        <f t="shared" si="9"/>
        <v>42.944000000000003</v>
      </c>
      <c r="I155" s="185" t="s">
        <v>366</v>
      </c>
      <c r="J155" s="151"/>
      <c r="K155" s="151"/>
      <c r="L155" s="1"/>
      <c r="N155" s="167"/>
      <c r="O155" s="162"/>
      <c r="P155" s="162"/>
    </row>
    <row r="156" spans="1:16" ht="21" customHeight="1">
      <c r="A156" s="228"/>
      <c r="B156" s="39"/>
      <c r="C156" s="170"/>
      <c r="D156" s="34" t="s">
        <v>247</v>
      </c>
      <c r="E156" s="35">
        <v>1.22</v>
      </c>
      <c r="F156" s="205">
        <v>2.2000000000000002</v>
      </c>
      <c r="G156" s="206"/>
      <c r="H156" s="193">
        <f t="shared" si="9"/>
        <v>42.944000000000003</v>
      </c>
      <c r="I156" s="185" t="s">
        <v>366</v>
      </c>
      <c r="J156" s="151"/>
      <c r="K156" s="151"/>
      <c r="L156" s="1"/>
      <c r="N156" s="167"/>
      <c r="O156" s="162"/>
      <c r="P156" s="162"/>
    </row>
    <row r="157" spans="1:16" ht="15.75">
      <c r="A157" s="228"/>
      <c r="B157" s="39"/>
      <c r="C157" s="170" t="s">
        <v>153</v>
      </c>
      <c r="D157" s="34" t="s">
        <v>247</v>
      </c>
      <c r="E157" s="35">
        <v>1.22</v>
      </c>
      <c r="F157" s="205">
        <v>2.27</v>
      </c>
      <c r="G157" s="206"/>
      <c r="H157" s="193">
        <f t="shared" si="9"/>
        <v>44.310400000000001</v>
      </c>
      <c r="I157" s="185" t="s">
        <v>366</v>
      </c>
      <c r="J157" s="151"/>
      <c r="K157" s="151"/>
      <c r="L157" s="1"/>
      <c r="N157" s="167"/>
      <c r="O157" s="162"/>
      <c r="P157" s="162"/>
    </row>
    <row r="158" spans="1:16" ht="20.100000000000001" customHeight="1">
      <c r="A158" s="228"/>
      <c r="B158" s="39"/>
      <c r="C158" s="170"/>
      <c r="D158" s="34" t="s">
        <v>247</v>
      </c>
      <c r="E158" s="35">
        <v>0.95</v>
      </c>
      <c r="F158" s="205">
        <v>2.27</v>
      </c>
      <c r="G158" s="206"/>
      <c r="H158" s="193">
        <f t="shared" si="9"/>
        <v>34.503999999999998</v>
      </c>
      <c r="I158" s="185" t="s">
        <v>366</v>
      </c>
      <c r="J158" s="151"/>
      <c r="K158" s="151"/>
      <c r="L158" s="1"/>
      <c r="N158" s="167"/>
      <c r="O158" s="162"/>
      <c r="P158" s="162"/>
    </row>
    <row r="159" spans="1:16" ht="19.5" customHeight="1">
      <c r="A159" s="228"/>
      <c r="B159" s="39"/>
      <c r="C159" s="846" t="s">
        <v>253</v>
      </c>
      <c r="D159" s="34">
        <v>1</v>
      </c>
      <c r="E159" s="35">
        <v>2.15</v>
      </c>
      <c r="F159" s="205">
        <v>3.05</v>
      </c>
      <c r="G159" s="206"/>
      <c r="H159" s="193">
        <f>F159*E159*2*2</f>
        <v>26.229999999999997</v>
      </c>
      <c r="I159" s="185" t="s">
        <v>366</v>
      </c>
      <c r="J159" s="151"/>
      <c r="K159" s="151"/>
      <c r="L159" s="1"/>
      <c r="N159" s="167"/>
      <c r="O159" s="162"/>
      <c r="P159" s="162"/>
    </row>
    <row r="160" spans="1:16" ht="19.5" customHeight="1">
      <c r="A160" s="228"/>
      <c r="B160" s="39"/>
      <c r="C160" s="846"/>
      <c r="D160" s="34">
        <v>1</v>
      </c>
      <c r="E160" s="35">
        <v>5.0999999999999996</v>
      </c>
      <c r="F160" s="205">
        <v>3.05</v>
      </c>
      <c r="G160" s="206"/>
      <c r="H160" s="193">
        <f>F160*E160*2*3</f>
        <v>93.329999999999984</v>
      </c>
      <c r="I160" s="185" t="s">
        <v>366</v>
      </c>
      <c r="J160" s="151"/>
      <c r="K160" s="151"/>
      <c r="L160" s="1"/>
      <c r="N160" s="167"/>
      <c r="O160" s="162"/>
      <c r="P160" s="162"/>
    </row>
    <row r="161" spans="1:16" ht="19.5" customHeight="1">
      <c r="A161" s="228"/>
      <c r="B161" s="39"/>
      <c r="C161" s="846" t="s">
        <v>254</v>
      </c>
      <c r="D161" s="34">
        <v>3</v>
      </c>
      <c r="E161" s="35">
        <v>3.97</v>
      </c>
      <c r="F161" s="35">
        <v>2.15</v>
      </c>
      <c r="G161" s="206"/>
      <c r="H161" s="193"/>
      <c r="I161" s="185"/>
      <c r="J161" s="151"/>
      <c r="K161" s="151"/>
      <c r="L161" s="1"/>
      <c r="N161" s="167"/>
      <c r="O161" s="162"/>
      <c r="P161" s="162"/>
    </row>
    <row r="162" spans="1:16" ht="20.100000000000001" customHeight="1">
      <c r="A162" s="228"/>
      <c r="B162" s="39"/>
      <c r="C162" s="846"/>
      <c r="D162" s="34">
        <v>3</v>
      </c>
      <c r="E162" s="35">
        <v>3.97</v>
      </c>
      <c r="F162" s="35">
        <v>2.15</v>
      </c>
      <c r="G162" s="206"/>
      <c r="H162" s="193">
        <f>F162*E162*D162</f>
        <v>25.606500000000004</v>
      </c>
      <c r="I162" s="185" t="s">
        <v>366</v>
      </c>
      <c r="J162" s="151"/>
      <c r="K162" s="151"/>
      <c r="L162" s="1"/>
      <c r="N162" s="167"/>
      <c r="O162" s="162"/>
      <c r="P162" s="162"/>
    </row>
    <row r="163" spans="1:16" ht="20.100000000000001" customHeight="1">
      <c r="A163" s="228"/>
      <c r="B163" s="39"/>
      <c r="C163" s="170" t="s">
        <v>154</v>
      </c>
      <c r="D163" s="207">
        <v>1</v>
      </c>
      <c r="E163" s="185">
        <v>5.2</v>
      </c>
      <c r="F163" s="205">
        <v>2.15</v>
      </c>
      <c r="G163" s="206"/>
      <c r="H163" s="193">
        <f>F163*E163*2*2</f>
        <v>44.72</v>
      </c>
      <c r="I163" s="185" t="s">
        <v>366</v>
      </c>
      <c r="J163" s="151"/>
      <c r="K163" s="151"/>
      <c r="L163" s="1"/>
      <c r="N163" s="167"/>
      <c r="O163" s="162"/>
      <c r="P163" s="162"/>
    </row>
    <row r="164" spans="1:16" ht="20.100000000000001" customHeight="1">
      <c r="A164" s="228"/>
      <c r="B164" s="39"/>
      <c r="C164" s="170" t="s">
        <v>166</v>
      </c>
      <c r="D164" s="34" t="s">
        <v>255</v>
      </c>
      <c r="E164" s="35">
        <v>3</v>
      </c>
      <c r="F164" s="205">
        <v>1.1000000000000001</v>
      </c>
      <c r="G164" s="206"/>
      <c r="H164" s="193">
        <f>F164*E164*2*4</f>
        <v>26.400000000000002</v>
      </c>
      <c r="I164" s="185" t="s">
        <v>366</v>
      </c>
      <c r="J164" s="151"/>
      <c r="K164" s="151"/>
      <c r="L164" s="1"/>
      <c r="N164" s="167"/>
      <c r="O164" s="162"/>
      <c r="P164" s="162"/>
    </row>
    <row r="165" spans="1:16" ht="20.100000000000001" customHeight="1">
      <c r="A165" s="228"/>
      <c r="B165" s="39"/>
      <c r="C165" s="248" t="s">
        <v>167</v>
      </c>
      <c r="D165" s="34"/>
      <c r="E165" s="35"/>
      <c r="F165" s="205"/>
      <c r="G165" s="206"/>
      <c r="H165" s="189"/>
      <c r="I165" s="229"/>
      <c r="J165" s="191"/>
      <c r="K165" s="191"/>
      <c r="L165" s="1"/>
      <c r="N165" s="167"/>
      <c r="O165" s="162"/>
      <c r="P165" s="162"/>
    </row>
    <row r="166" spans="1:16" ht="20.100000000000001" customHeight="1">
      <c r="A166" s="228"/>
      <c r="B166" s="39"/>
      <c r="C166" s="170" t="s">
        <v>149</v>
      </c>
      <c r="D166" s="34"/>
      <c r="E166" s="35"/>
      <c r="F166" s="205"/>
      <c r="G166" s="206"/>
      <c r="H166" s="189"/>
      <c r="I166" s="229"/>
      <c r="J166" s="191"/>
      <c r="K166" s="191"/>
      <c r="L166" s="1"/>
      <c r="N166" s="167"/>
      <c r="O166" s="162"/>
      <c r="P166" s="162"/>
    </row>
    <row r="167" spans="1:16" ht="20.100000000000001" customHeight="1">
      <c r="A167" s="228"/>
      <c r="B167" s="39"/>
      <c r="C167" s="170" t="s">
        <v>168</v>
      </c>
      <c r="D167" s="34">
        <v>-12</v>
      </c>
      <c r="E167" s="35">
        <v>0.9</v>
      </c>
      <c r="F167" s="205">
        <v>2.1</v>
      </c>
      <c r="G167" s="206"/>
      <c r="H167" s="193">
        <f>F167*E167*D167</f>
        <v>-22.68</v>
      </c>
      <c r="I167" s="185" t="s">
        <v>366</v>
      </c>
      <c r="J167" s="151"/>
      <c r="K167" s="151"/>
      <c r="L167" s="1"/>
      <c r="N167" s="167"/>
      <c r="O167" s="162"/>
      <c r="P167" s="162"/>
    </row>
    <row r="168" spans="1:16" ht="20.100000000000001" customHeight="1">
      <c r="A168" s="228"/>
      <c r="B168" s="39"/>
      <c r="C168" s="170" t="s">
        <v>171</v>
      </c>
      <c r="D168" s="34">
        <v>-12</v>
      </c>
      <c r="E168" s="35">
        <v>1.5</v>
      </c>
      <c r="F168" s="205">
        <v>1.2</v>
      </c>
      <c r="G168" s="206"/>
      <c r="H168" s="193">
        <f>F168*E168*D168</f>
        <v>-21.599999999999998</v>
      </c>
      <c r="I168" s="185" t="s">
        <v>366</v>
      </c>
      <c r="J168" s="151"/>
      <c r="K168" s="151"/>
      <c r="L168" s="1"/>
      <c r="N168" s="167"/>
      <c r="O168" s="162"/>
      <c r="P168" s="162"/>
    </row>
    <row r="169" spans="1:16" ht="20.100000000000001" customHeight="1">
      <c r="A169" s="228"/>
      <c r="B169" s="39"/>
      <c r="C169" s="170" t="s">
        <v>172</v>
      </c>
      <c r="D169" s="34"/>
      <c r="E169" s="35"/>
      <c r="F169" s="205"/>
      <c r="G169" s="206"/>
      <c r="H169" s="189"/>
      <c r="I169" s="229"/>
      <c r="J169" s="191"/>
      <c r="K169" s="191"/>
      <c r="L169" s="1"/>
      <c r="N169" s="167"/>
      <c r="O169" s="162"/>
      <c r="P169" s="162"/>
    </row>
    <row r="170" spans="1:16" ht="20.100000000000001" customHeight="1">
      <c r="A170" s="228"/>
      <c r="B170" s="39"/>
      <c r="C170" s="170" t="s">
        <v>168</v>
      </c>
      <c r="D170" s="34">
        <v>-12</v>
      </c>
      <c r="E170" s="35">
        <v>0.9</v>
      </c>
      <c r="F170" s="205">
        <v>2.1</v>
      </c>
      <c r="G170" s="206"/>
      <c r="H170" s="193">
        <f>F170*E170*D170</f>
        <v>-22.68</v>
      </c>
      <c r="I170" s="185" t="s">
        <v>366</v>
      </c>
      <c r="J170" s="151"/>
      <c r="K170" s="151"/>
      <c r="L170" s="1"/>
      <c r="N170" s="167"/>
      <c r="O170" s="162"/>
      <c r="P170" s="162"/>
    </row>
    <row r="171" spans="1:16" ht="20.100000000000001" customHeight="1">
      <c r="A171" s="228"/>
      <c r="B171" s="39"/>
      <c r="C171" s="170" t="s">
        <v>173</v>
      </c>
      <c r="D171" s="34">
        <v>-12</v>
      </c>
      <c r="E171" s="35">
        <v>1</v>
      </c>
      <c r="F171" s="205">
        <v>1.2</v>
      </c>
      <c r="G171" s="206"/>
      <c r="H171" s="193">
        <f>F171*E171*D171</f>
        <v>-14.399999999999999</v>
      </c>
      <c r="I171" s="185" t="s">
        <v>366</v>
      </c>
      <c r="J171" s="151"/>
      <c r="K171" s="151"/>
      <c r="L171" s="1"/>
      <c r="N171" s="167"/>
      <c r="O171" s="162"/>
      <c r="P171" s="162"/>
    </row>
    <row r="172" spans="1:16" ht="20.100000000000001" customHeight="1">
      <c r="A172" s="228"/>
      <c r="B172" s="39"/>
      <c r="C172" s="170" t="s">
        <v>152</v>
      </c>
      <c r="D172" s="34"/>
      <c r="E172" s="35"/>
      <c r="F172" s="205"/>
      <c r="G172" s="206"/>
      <c r="H172" s="189"/>
      <c r="I172" s="229"/>
      <c r="J172" s="191"/>
      <c r="K172" s="191"/>
      <c r="L172" s="1"/>
      <c r="N172" s="167"/>
      <c r="O172" s="162"/>
      <c r="P172" s="162"/>
    </row>
    <row r="173" spans="1:16" ht="20.100000000000001" customHeight="1">
      <c r="A173" s="228"/>
      <c r="B173" s="39"/>
      <c r="C173" s="170" t="s">
        <v>169</v>
      </c>
      <c r="D173" s="34">
        <v>-12</v>
      </c>
      <c r="E173" s="35">
        <v>0.8</v>
      </c>
      <c r="F173" s="205">
        <v>2.1</v>
      </c>
      <c r="G173" s="206"/>
      <c r="H173" s="193">
        <f>F173*E173*D173</f>
        <v>-20.160000000000004</v>
      </c>
      <c r="I173" s="185" t="s">
        <v>366</v>
      </c>
      <c r="J173" s="151"/>
      <c r="K173" s="151"/>
      <c r="L173" s="1"/>
      <c r="N173" s="167"/>
      <c r="O173" s="162"/>
      <c r="P173" s="162"/>
    </row>
    <row r="174" spans="1:16" ht="20.100000000000001" customHeight="1">
      <c r="A174" s="228"/>
      <c r="B174" s="39"/>
      <c r="C174" s="170" t="s">
        <v>174</v>
      </c>
      <c r="D174" s="34">
        <v>-12</v>
      </c>
      <c r="E174" s="35">
        <v>0.6</v>
      </c>
      <c r="F174" s="205">
        <v>1.2</v>
      </c>
      <c r="G174" s="206"/>
      <c r="H174" s="193">
        <f>F174*E174*D174</f>
        <v>-8.64</v>
      </c>
      <c r="I174" s="185" t="s">
        <v>366</v>
      </c>
      <c r="J174" s="151"/>
      <c r="K174" s="151"/>
      <c r="L174" s="1"/>
      <c r="N174" s="167"/>
      <c r="O174" s="162"/>
      <c r="P174" s="162"/>
    </row>
    <row r="175" spans="1:16" ht="20.100000000000001" customHeight="1">
      <c r="A175" s="228"/>
      <c r="B175" s="39"/>
      <c r="C175" s="170" t="s">
        <v>153</v>
      </c>
      <c r="D175" s="34"/>
      <c r="E175" s="35"/>
      <c r="F175" s="205"/>
      <c r="G175" s="206"/>
      <c r="H175" s="189"/>
      <c r="I175" s="229"/>
      <c r="J175" s="191"/>
      <c r="K175" s="191"/>
      <c r="L175" s="1"/>
      <c r="N175" s="167"/>
      <c r="O175" s="162"/>
      <c r="P175" s="162"/>
    </row>
    <row r="176" spans="1:16" ht="20.100000000000001" customHeight="1">
      <c r="A176" s="228"/>
      <c r="B176" s="39"/>
      <c r="C176" s="170" t="s">
        <v>170</v>
      </c>
      <c r="D176" s="34">
        <v>-12</v>
      </c>
      <c r="E176" s="35">
        <v>0.8</v>
      </c>
      <c r="F176" s="205">
        <v>2.1</v>
      </c>
      <c r="G176" s="206"/>
      <c r="H176" s="193">
        <f>F176*E176*D176</f>
        <v>-20.160000000000004</v>
      </c>
      <c r="I176" s="185" t="s">
        <v>366</v>
      </c>
      <c r="J176" s="151"/>
      <c r="K176" s="151"/>
      <c r="L176" s="1"/>
      <c r="N176" s="167"/>
      <c r="O176" s="162"/>
      <c r="P176" s="162"/>
    </row>
    <row r="177" spans="1:16" ht="20.100000000000001" customHeight="1">
      <c r="A177" s="228"/>
      <c r="B177" s="39"/>
      <c r="C177" s="170" t="s">
        <v>174</v>
      </c>
      <c r="D177" s="34">
        <v>-12</v>
      </c>
      <c r="E177" s="35">
        <v>0.6</v>
      </c>
      <c r="F177" s="205">
        <v>1.2</v>
      </c>
      <c r="G177" s="206"/>
      <c r="H177" s="193">
        <f>F177*E177*D177</f>
        <v>-8.64</v>
      </c>
      <c r="I177" s="185" t="s">
        <v>366</v>
      </c>
      <c r="J177" s="151"/>
      <c r="K177" s="151"/>
      <c r="L177" s="1"/>
      <c r="N177" s="167"/>
      <c r="O177" s="162"/>
      <c r="P177" s="162"/>
    </row>
    <row r="178" spans="1:16" ht="20.100000000000001" customHeight="1">
      <c r="A178" s="228"/>
      <c r="B178" s="39"/>
      <c r="C178" s="170" t="s">
        <v>151</v>
      </c>
      <c r="D178" s="34"/>
      <c r="E178" s="35"/>
      <c r="F178" s="205"/>
      <c r="G178" s="206"/>
      <c r="H178" s="189"/>
      <c r="I178" s="229"/>
      <c r="J178" s="191"/>
      <c r="K178" s="191"/>
      <c r="L178" s="1"/>
      <c r="N178" s="167"/>
      <c r="O178" s="162"/>
      <c r="P178" s="162"/>
    </row>
    <row r="179" spans="1:16" ht="20.100000000000001" customHeight="1">
      <c r="A179" s="228"/>
      <c r="B179" s="39"/>
      <c r="C179" s="170" t="s">
        <v>169</v>
      </c>
      <c r="D179" s="34">
        <v>-12</v>
      </c>
      <c r="E179" s="35">
        <v>0.9</v>
      </c>
      <c r="F179" s="205">
        <v>2.1</v>
      </c>
      <c r="G179" s="206"/>
      <c r="H179" s="193">
        <f>F179*E179*D179</f>
        <v>-22.68</v>
      </c>
      <c r="I179" s="185" t="s">
        <v>366</v>
      </c>
      <c r="J179" s="151"/>
      <c r="K179" s="151"/>
      <c r="L179" s="1"/>
      <c r="N179" s="167"/>
      <c r="O179" s="162"/>
      <c r="P179" s="162"/>
    </row>
    <row r="180" spans="1:16" ht="20.100000000000001" customHeight="1">
      <c r="A180" s="228"/>
      <c r="B180" s="39"/>
      <c r="C180" s="170" t="s">
        <v>170</v>
      </c>
      <c r="D180" s="34">
        <v>-12</v>
      </c>
      <c r="E180" s="35">
        <v>0.8</v>
      </c>
      <c r="F180" s="205">
        <v>2.1</v>
      </c>
      <c r="G180" s="206"/>
      <c r="H180" s="193">
        <f>F180*E180*D180</f>
        <v>-20.160000000000004</v>
      </c>
      <c r="I180" s="185" t="s">
        <v>366</v>
      </c>
      <c r="J180" s="151"/>
      <c r="K180" s="151"/>
      <c r="L180" s="1"/>
      <c r="N180" s="167"/>
      <c r="O180" s="162"/>
      <c r="P180" s="162"/>
    </row>
    <row r="181" spans="1:16" ht="20.100000000000001" customHeight="1">
      <c r="A181" s="228"/>
      <c r="B181" s="39"/>
      <c r="C181" s="170"/>
      <c r="D181" s="34"/>
      <c r="E181" s="35"/>
      <c r="F181" s="850" t="s">
        <v>161</v>
      </c>
      <c r="G181" s="851"/>
      <c r="H181" s="237">
        <f>SUM(H149:H180)</f>
        <v>1027.5088999999994</v>
      </c>
      <c r="I181" s="218"/>
      <c r="J181" s="247"/>
      <c r="K181" s="191"/>
      <c r="L181" s="1"/>
      <c r="N181" s="167"/>
      <c r="O181" s="162"/>
      <c r="P181" s="162"/>
    </row>
    <row r="182" spans="1:16" ht="20.100000000000001" customHeight="1">
      <c r="A182" s="228"/>
      <c r="B182" s="39"/>
      <c r="C182" s="170"/>
      <c r="D182" s="34"/>
      <c r="E182" s="35"/>
      <c r="F182" s="857" t="s">
        <v>10</v>
      </c>
      <c r="G182" s="857"/>
      <c r="H182" s="237">
        <f>ROUNDUP(H181,0)</f>
        <v>1028</v>
      </c>
      <c r="I182" s="229" t="s">
        <v>372</v>
      </c>
      <c r="J182" s="191"/>
      <c r="K182" s="151"/>
      <c r="L182" s="1"/>
      <c r="N182" s="167"/>
      <c r="O182" s="162"/>
      <c r="P182" s="162"/>
    </row>
    <row r="183" spans="1:16" ht="20.100000000000001" customHeight="1">
      <c r="A183" s="279"/>
      <c r="B183" s="103"/>
      <c r="C183" s="360"/>
      <c r="D183" s="299"/>
      <c r="E183" s="858" t="s">
        <v>297</v>
      </c>
      <c r="F183" s="858"/>
      <c r="G183" s="858"/>
      <c r="H183" s="233">
        <f>H146+H182</f>
        <v>2268</v>
      </c>
      <c r="I183" s="234" t="s">
        <v>367</v>
      </c>
      <c r="J183" s="359" t="s">
        <v>307</v>
      </c>
      <c r="K183" s="351"/>
      <c r="L183" s="1"/>
      <c r="N183" s="167"/>
      <c r="O183" s="162"/>
      <c r="P183" s="162"/>
    </row>
    <row r="184" spans="1:16" ht="20.100000000000001" customHeight="1">
      <c r="A184" s="228"/>
      <c r="B184" s="39"/>
      <c r="C184" s="170"/>
      <c r="D184" s="34"/>
      <c r="E184" s="35"/>
      <c r="F184" s="364"/>
      <c r="G184" s="236"/>
      <c r="H184" s="189"/>
      <c r="I184" s="229"/>
      <c r="J184" s="191"/>
      <c r="K184" s="151"/>
      <c r="L184" s="1"/>
      <c r="N184" s="167"/>
      <c r="O184" s="162"/>
      <c r="P184" s="162"/>
    </row>
    <row r="185" spans="1:16" ht="20.100000000000001" customHeight="1">
      <c r="A185" s="228"/>
      <c r="B185" s="39"/>
      <c r="C185" s="246" t="s">
        <v>295</v>
      </c>
      <c r="D185" s="249"/>
      <c r="E185" s="249"/>
      <c r="F185" s="249"/>
      <c r="G185" s="250"/>
      <c r="H185" s="189"/>
      <c r="I185" s="229"/>
      <c r="J185" s="191"/>
      <c r="K185" s="191"/>
      <c r="L185" s="1"/>
      <c r="N185" s="167"/>
      <c r="O185" s="162"/>
      <c r="P185" s="162"/>
    </row>
    <row r="186" spans="1:16" ht="20.100000000000001" customHeight="1">
      <c r="A186" s="228"/>
      <c r="B186" s="232" t="s">
        <v>296</v>
      </c>
      <c r="C186" s="101" t="s">
        <v>207</v>
      </c>
      <c r="D186" s="34"/>
      <c r="E186" s="35"/>
      <c r="F186" s="204"/>
      <c r="G186" s="200"/>
      <c r="H186" s="193"/>
      <c r="I186" s="185"/>
      <c r="J186" s="151"/>
      <c r="K186" s="151"/>
      <c r="L186" s="1"/>
      <c r="N186" s="167"/>
      <c r="O186" s="162"/>
      <c r="P186" s="162"/>
    </row>
    <row r="187" spans="1:16" ht="20.100000000000001" customHeight="1">
      <c r="A187" s="228"/>
      <c r="B187" s="39"/>
      <c r="C187" s="101" t="s">
        <v>162</v>
      </c>
      <c r="D187" s="34"/>
      <c r="E187" s="35"/>
      <c r="F187" s="204"/>
      <c r="G187" s="200"/>
      <c r="H187" s="193"/>
      <c r="I187" s="185"/>
      <c r="J187" s="151"/>
      <c r="K187" s="151"/>
      <c r="L187" s="1"/>
      <c r="N187" s="167"/>
      <c r="O187" s="162"/>
      <c r="P187" s="162"/>
    </row>
    <row r="188" spans="1:16" ht="20.100000000000001" customHeight="1">
      <c r="A188" s="228"/>
      <c r="B188" s="39"/>
      <c r="C188" s="170" t="s">
        <v>208</v>
      </c>
      <c r="D188" s="251">
        <v>2</v>
      </c>
      <c r="E188" s="251">
        <v>15.66</v>
      </c>
      <c r="F188" s="252">
        <v>7.4</v>
      </c>
      <c r="G188" s="253"/>
      <c r="H188" s="193">
        <f>F188*E188*D188</f>
        <v>231.768</v>
      </c>
      <c r="I188" s="185" t="s">
        <v>366</v>
      </c>
      <c r="J188" s="151"/>
      <c r="K188" s="151"/>
      <c r="L188" s="1"/>
      <c r="N188" s="167"/>
      <c r="O188" s="162"/>
      <c r="P188" s="162"/>
    </row>
    <row r="189" spans="1:16" ht="20.100000000000001" customHeight="1">
      <c r="A189" s="228"/>
      <c r="B189" s="39"/>
      <c r="C189" s="170" t="s">
        <v>209</v>
      </c>
      <c r="D189" s="254">
        <v>4</v>
      </c>
      <c r="E189" s="255">
        <v>3.2</v>
      </c>
      <c r="F189" s="255">
        <v>8</v>
      </c>
      <c r="G189" s="253"/>
      <c r="H189" s="193">
        <f>F189*E189*D189</f>
        <v>102.4</v>
      </c>
      <c r="I189" s="185" t="s">
        <v>366</v>
      </c>
      <c r="J189" s="151"/>
      <c r="K189" s="151"/>
      <c r="L189" s="1"/>
      <c r="N189" s="167"/>
      <c r="O189" s="162"/>
      <c r="P189" s="162"/>
    </row>
    <row r="190" spans="1:16" ht="20.100000000000001" customHeight="1">
      <c r="A190" s="228"/>
      <c r="B190" s="39"/>
      <c r="C190" s="170" t="s">
        <v>183</v>
      </c>
      <c r="D190" s="254">
        <v>2</v>
      </c>
      <c r="E190" s="255">
        <v>15.85</v>
      </c>
      <c r="F190" s="255">
        <v>8</v>
      </c>
      <c r="G190" s="253"/>
      <c r="H190" s="193">
        <f>F190*E190*D190</f>
        <v>253.6</v>
      </c>
      <c r="I190" s="185" t="s">
        <v>366</v>
      </c>
      <c r="J190" s="151"/>
      <c r="K190" s="151"/>
      <c r="L190" s="1"/>
      <c r="N190" s="167"/>
      <c r="O190" s="162"/>
      <c r="P190" s="162"/>
    </row>
    <row r="191" spans="1:16" ht="20.100000000000001" customHeight="1">
      <c r="A191" s="228"/>
      <c r="B191" s="39"/>
      <c r="C191" s="170" t="s">
        <v>210</v>
      </c>
      <c r="D191" s="254" t="s">
        <v>165</v>
      </c>
      <c r="E191" s="255">
        <v>0.75</v>
      </c>
      <c r="F191" s="255">
        <v>8</v>
      </c>
      <c r="G191" s="253"/>
      <c r="H191" s="193">
        <f>F191*E191*2*4</f>
        <v>48</v>
      </c>
      <c r="I191" s="185" t="s">
        <v>366</v>
      </c>
      <c r="J191" s="151"/>
      <c r="K191" s="151"/>
      <c r="L191" s="1"/>
      <c r="N191" s="167"/>
      <c r="O191" s="162"/>
      <c r="P191" s="162"/>
    </row>
    <row r="192" spans="1:16" ht="20.100000000000001" customHeight="1">
      <c r="A192" s="228"/>
      <c r="B192" s="39"/>
      <c r="C192" s="170" t="s">
        <v>184</v>
      </c>
      <c r="D192" s="249"/>
      <c r="E192" s="249"/>
      <c r="F192" s="249"/>
      <c r="G192" s="250"/>
      <c r="H192" s="189"/>
      <c r="I192" s="229"/>
      <c r="J192" s="191"/>
      <c r="K192" s="191"/>
      <c r="L192" s="1"/>
      <c r="N192" s="167"/>
      <c r="O192" s="162"/>
      <c r="P192" s="162"/>
    </row>
    <row r="193" spans="1:16" ht="20.100000000000001" customHeight="1">
      <c r="A193" s="228"/>
      <c r="B193" s="39"/>
      <c r="C193" s="170" t="s">
        <v>185</v>
      </c>
      <c r="D193" s="251">
        <v>2</v>
      </c>
      <c r="E193" s="252">
        <v>4.4000000000000004</v>
      </c>
      <c r="F193" s="252">
        <v>8</v>
      </c>
      <c r="G193" s="253"/>
      <c r="H193" s="193">
        <f t="shared" ref="H193:H197" si="10">F193*E193*D193</f>
        <v>70.400000000000006</v>
      </c>
      <c r="I193" s="185" t="s">
        <v>366</v>
      </c>
      <c r="J193" s="151"/>
      <c r="K193" s="151"/>
      <c r="L193" s="1"/>
      <c r="N193" s="167"/>
      <c r="O193" s="162"/>
      <c r="P193" s="162"/>
    </row>
    <row r="194" spans="1:16" ht="20.100000000000001" customHeight="1">
      <c r="A194" s="228"/>
      <c r="B194" s="39"/>
      <c r="C194" s="170" t="s">
        <v>211</v>
      </c>
      <c r="D194" s="251">
        <v>2</v>
      </c>
      <c r="E194" s="252">
        <v>5</v>
      </c>
      <c r="F194" s="252">
        <v>3</v>
      </c>
      <c r="G194" s="253"/>
      <c r="H194" s="193">
        <f t="shared" si="10"/>
        <v>30</v>
      </c>
      <c r="I194" s="185" t="s">
        <v>366</v>
      </c>
      <c r="J194" s="151"/>
      <c r="K194" s="151"/>
      <c r="L194" s="1"/>
      <c r="N194" s="167"/>
      <c r="O194" s="162"/>
      <c r="P194" s="162"/>
    </row>
    <row r="195" spans="1:16" ht="20.100000000000001" customHeight="1">
      <c r="A195" s="228"/>
      <c r="B195" s="39"/>
      <c r="C195" s="170" t="s">
        <v>183</v>
      </c>
      <c r="D195" s="251">
        <v>2</v>
      </c>
      <c r="E195" s="252">
        <v>3</v>
      </c>
      <c r="F195" s="252">
        <v>3.2</v>
      </c>
      <c r="G195" s="253"/>
      <c r="H195" s="193">
        <f t="shared" si="10"/>
        <v>19.200000000000003</v>
      </c>
      <c r="I195" s="185" t="s">
        <v>366</v>
      </c>
      <c r="J195" s="151"/>
      <c r="K195" s="151"/>
      <c r="L195" s="1"/>
      <c r="N195" s="167"/>
      <c r="O195" s="162"/>
      <c r="P195" s="162"/>
    </row>
    <row r="196" spans="1:16" ht="20.100000000000001" customHeight="1">
      <c r="A196" s="228"/>
      <c r="B196" s="39"/>
      <c r="C196" s="170" t="s">
        <v>200</v>
      </c>
      <c r="D196" s="251">
        <v>2</v>
      </c>
      <c r="E196" s="255">
        <v>78.040000000000006</v>
      </c>
      <c r="F196" s="252">
        <v>1</v>
      </c>
      <c r="G196" s="253"/>
      <c r="H196" s="193">
        <f t="shared" si="10"/>
        <v>156.08000000000001</v>
      </c>
      <c r="I196" s="185" t="s">
        <v>366</v>
      </c>
      <c r="J196" s="151"/>
      <c r="K196" s="151"/>
      <c r="L196" s="1"/>
      <c r="N196" s="167"/>
      <c r="O196" s="162"/>
      <c r="P196" s="162"/>
    </row>
    <row r="197" spans="1:16" ht="20.100000000000001" customHeight="1">
      <c r="A197" s="228"/>
      <c r="B197" s="39"/>
      <c r="C197" s="170" t="s">
        <v>201</v>
      </c>
      <c r="D197" s="251">
        <v>2</v>
      </c>
      <c r="E197" s="255">
        <v>79.319999999999993</v>
      </c>
      <c r="F197" s="255">
        <v>0.3</v>
      </c>
      <c r="G197" s="253"/>
      <c r="H197" s="193">
        <f t="shared" si="10"/>
        <v>47.591999999999992</v>
      </c>
      <c r="I197" s="185" t="s">
        <v>366</v>
      </c>
      <c r="J197" s="151"/>
      <c r="K197" s="151"/>
      <c r="L197" s="1"/>
      <c r="N197" s="167"/>
      <c r="O197" s="162"/>
      <c r="P197" s="162"/>
    </row>
    <row r="198" spans="1:16" ht="20.100000000000001" customHeight="1">
      <c r="A198" s="228"/>
      <c r="B198" s="39"/>
      <c r="C198" s="170"/>
      <c r="D198" s="251"/>
      <c r="E198" s="255"/>
      <c r="F198" s="255"/>
      <c r="G198" s="253"/>
      <c r="H198" s="193"/>
      <c r="I198" s="185"/>
      <c r="J198" s="151"/>
      <c r="K198" s="151"/>
      <c r="L198" s="1"/>
      <c r="N198" s="167"/>
      <c r="O198" s="162"/>
      <c r="P198" s="162"/>
    </row>
    <row r="199" spans="1:16" ht="20.100000000000001" customHeight="1">
      <c r="A199" s="228"/>
      <c r="B199" s="39"/>
      <c r="C199" s="170" t="s">
        <v>195</v>
      </c>
      <c r="D199" s="249"/>
      <c r="E199" s="249"/>
      <c r="F199" s="249"/>
      <c r="G199" s="250"/>
      <c r="H199" s="189"/>
      <c r="I199" s="229"/>
      <c r="J199" s="191"/>
      <c r="K199" s="191"/>
      <c r="L199" s="1"/>
      <c r="N199" s="167"/>
      <c r="O199" s="162"/>
      <c r="P199" s="162"/>
    </row>
    <row r="200" spans="1:16" ht="20.100000000000001" customHeight="1">
      <c r="A200" s="228"/>
      <c r="B200" s="39"/>
      <c r="C200" s="170" t="s">
        <v>192</v>
      </c>
      <c r="D200" s="251" t="s">
        <v>191</v>
      </c>
      <c r="E200" s="252">
        <v>1.7</v>
      </c>
      <c r="F200" s="252">
        <v>0.7</v>
      </c>
      <c r="G200" s="256"/>
      <c r="H200" s="193">
        <f>F200*E200*2*8</f>
        <v>19.04</v>
      </c>
      <c r="I200" s="185" t="s">
        <v>366</v>
      </c>
      <c r="J200" s="151"/>
      <c r="K200" s="151"/>
      <c r="L200" s="1"/>
      <c r="N200" s="167"/>
      <c r="O200" s="162"/>
      <c r="P200" s="162"/>
    </row>
    <row r="201" spans="1:16" ht="20.100000000000001" customHeight="1">
      <c r="A201" s="228"/>
      <c r="B201" s="39"/>
      <c r="C201" s="170" t="s">
        <v>193</v>
      </c>
      <c r="D201" s="251" t="s">
        <v>213</v>
      </c>
      <c r="E201" s="252">
        <v>0.7</v>
      </c>
      <c r="F201" s="252">
        <v>0.4</v>
      </c>
      <c r="G201" s="256"/>
      <c r="H201" s="193">
        <f>F201*E201*2*8*2</f>
        <v>8.9599999999999991</v>
      </c>
      <c r="I201" s="185" t="s">
        <v>366</v>
      </c>
      <c r="J201" s="151"/>
      <c r="K201" s="151"/>
      <c r="L201" s="1"/>
      <c r="N201" s="167"/>
      <c r="O201" s="162"/>
      <c r="P201" s="162"/>
    </row>
    <row r="202" spans="1:16" ht="20.100000000000001" customHeight="1">
      <c r="A202" s="228"/>
      <c r="B202" s="39"/>
      <c r="C202" s="170" t="s">
        <v>194</v>
      </c>
      <c r="D202" s="251">
        <v>8</v>
      </c>
      <c r="E202" s="252">
        <v>3.4</v>
      </c>
      <c r="F202" s="252">
        <v>0.1</v>
      </c>
      <c r="G202" s="253"/>
      <c r="H202" s="193">
        <f>F202*E202*D202</f>
        <v>2.72</v>
      </c>
      <c r="I202" s="185" t="s">
        <v>366</v>
      </c>
      <c r="J202" s="151"/>
      <c r="K202" s="151"/>
      <c r="L202" s="1"/>
      <c r="N202" s="167"/>
      <c r="O202" s="162"/>
      <c r="P202" s="162"/>
    </row>
    <row r="203" spans="1:16" ht="20.100000000000001" customHeight="1">
      <c r="A203" s="228"/>
      <c r="B203" s="39"/>
      <c r="C203" s="170" t="s">
        <v>212</v>
      </c>
      <c r="D203" s="249"/>
      <c r="E203" s="249"/>
      <c r="F203" s="249"/>
      <c r="G203" s="250"/>
      <c r="H203" s="189"/>
      <c r="I203" s="229"/>
      <c r="J203" s="191"/>
      <c r="K203" s="191"/>
      <c r="L203" s="1"/>
      <c r="N203" s="167"/>
      <c r="O203" s="162"/>
      <c r="P203" s="162"/>
    </row>
    <row r="204" spans="1:16" ht="20.100000000000001" customHeight="1">
      <c r="A204" s="228"/>
      <c r="B204" s="39"/>
      <c r="C204" s="170" t="s">
        <v>192</v>
      </c>
      <c r="D204" s="251" t="s">
        <v>191</v>
      </c>
      <c r="E204" s="252">
        <v>1.2</v>
      </c>
      <c r="F204" s="252">
        <v>0.7</v>
      </c>
      <c r="G204" s="256"/>
      <c r="H204" s="193">
        <f>F204*E204*2*8</f>
        <v>13.44</v>
      </c>
      <c r="I204" s="185" t="s">
        <v>366</v>
      </c>
      <c r="J204" s="151"/>
      <c r="K204" s="151"/>
      <c r="L204" s="1"/>
      <c r="N204" s="167"/>
      <c r="O204" s="162"/>
      <c r="P204" s="162"/>
    </row>
    <row r="205" spans="1:16" ht="20.100000000000001" customHeight="1">
      <c r="A205" s="228"/>
      <c r="B205" s="39"/>
      <c r="C205" s="170" t="s">
        <v>193</v>
      </c>
      <c r="D205" s="251" t="s">
        <v>213</v>
      </c>
      <c r="E205" s="252">
        <v>0.7</v>
      </c>
      <c r="F205" s="252">
        <v>0.4</v>
      </c>
      <c r="G205" s="256"/>
      <c r="H205" s="193">
        <f>F205*E205*2*8*2</f>
        <v>8.9599999999999991</v>
      </c>
      <c r="I205" s="185" t="s">
        <v>366</v>
      </c>
      <c r="J205" s="151"/>
      <c r="K205" s="151"/>
      <c r="L205" s="1"/>
      <c r="N205" s="167"/>
      <c r="O205" s="162"/>
      <c r="P205" s="162"/>
    </row>
    <row r="206" spans="1:16" ht="20.100000000000001" customHeight="1">
      <c r="A206" s="228"/>
      <c r="B206" s="39"/>
      <c r="C206" s="170" t="s">
        <v>194</v>
      </c>
      <c r="D206" s="251">
        <v>8</v>
      </c>
      <c r="E206" s="252">
        <v>2.9</v>
      </c>
      <c r="F206" s="252">
        <v>0.1</v>
      </c>
      <c r="G206" s="253"/>
      <c r="H206" s="193">
        <f>F206*E206*D206</f>
        <v>2.3199999999999998</v>
      </c>
      <c r="I206" s="185" t="s">
        <v>366</v>
      </c>
      <c r="J206" s="151"/>
      <c r="K206" s="151"/>
      <c r="L206" s="1"/>
      <c r="N206" s="167"/>
      <c r="O206" s="162"/>
      <c r="P206" s="162"/>
    </row>
    <row r="207" spans="1:16" ht="20.100000000000001" customHeight="1">
      <c r="A207" s="228"/>
      <c r="B207" s="39"/>
      <c r="C207" s="170" t="s">
        <v>196</v>
      </c>
      <c r="D207" s="249"/>
      <c r="E207" s="249"/>
      <c r="F207" s="249"/>
      <c r="G207" s="250"/>
      <c r="H207" s="189"/>
      <c r="I207" s="229"/>
      <c r="J207" s="191"/>
      <c r="K207" s="191"/>
      <c r="L207" s="1"/>
      <c r="N207" s="167"/>
      <c r="O207" s="162"/>
      <c r="P207" s="162"/>
    </row>
    <row r="208" spans="1:16" ht="20.100000000000001" customHeight="1">
      <c r="A208" s="228"/>
      <c r="B208" s="39"/>
      <c r="C208" s="170" t="s">
        <v>192</v>
      </c>
      <c r="D208" s="251" t="s">
        <v>191</v>
      </c>
      <c r="E208" s="252">
        <v>1.2</v>
      </c>
      <c r="F208" s="252">
        <v>0.7</v>
      </c>
      <c r="G208" s="256"/>
      <c r="H208" s="193">
        <f>F208*E208*2*8</f>
        <v>13.44</v>
      </c>
      <c r="I208" s="185" t="s">
        <v>366</v>
      </c>
      <c r="J208" s="151"/>
      <c r="K208" s="151"/>
      <c r="L208" s="1"/>
      <c r="N208" s="167"/>
      <c r="O208" s="162"/>
      <c r="P208" s="162"/>
    </row>
    <row r="209" spans="1:16" ht="20.100000000000001" customHeight="1">
      <c r="A209" s="228"/>
      <c r="B209" s="39"/>
      <c r="C209" s="170" t="s">
        <v>193</v>
      </c>
      <c r="D209" s="251" t="s">
        <v>213</v>
      </c>
      <c r="E209" s="252">
        <v>0.7</v>
      </c>
      <c r="F209" s="252">
        <v>0.4</v>
      </c>
      <c r="G209" s="256"/>
      <c r="H209" s="193">
        <f>F209*E209*2*8*2</f>
        <v>8.9599999999999991</v>
      </c>
      <c r="I209" s="185" t="s">
        <v>366</v>
      </c>
      <c r="J209" s="151"/>
      <c r="K209" s="151"/>
      <c r="L209" s="1"/>
      <c r="N209" s="167"/>
      <c r="O209" s="162"/>
      <c r="P209" s="162"/>
    </row>
    <row r="210" spans="1:16" ht="20.100000000000001" customHeight="1">
      <c r="A210" s="228"/>
      <c r="B210" s="39"/>
      <c r="C210" s="170" t="s">
        <v>194</v>
      </c>
      <c r="D210" s="251">
        <v>8</v>
      </c>
      <c r="E210" s="252">
        <v>2.9</v>
      </c>
      <c r="F210" s="252">
        <v>0.1</v>
      </c>
      <c r="G210" s="253"/>
      <c r="H210" s="193">
        <f>F210*E210*D210</f>
        <v>2.3199999999999998</v>
      </c>
      <c r="I210" s="185" t="s">
        <v>366</v>
      </c>
      <c r="J210" s="151"/>
      <c r="K210" s="151"/>
      <c r="L210" s="1"/>
      <c r="N210" s="167"/>
      <c r="O210" s="162"/>
      <c r="P210" s="162"/>
    </row>
    <row r="211" spans="1:16" ht="20.100000000000001" customHeight="1">
      <c r="A211" s="228"/>
      <c r="B211" s="39"/>
      <c r="C211" s="170" t="s">
        <v>214</v>
      </c>
      <c r="D211" s="249"/>
      <c r="E211" s="249"/>
      <c r="F211" s="249"/>
      <c r="G211" s="250"/>
      <c r="H211" s="189"/>
      <c r="I211" s="229"/>
      <c r="J211" s="191"/>
      <c r="K211" s="191"/>
      <c r="L211" s="1"/>
      <c r="N211" s="167"/>
      <c r="O211" s="162"/>
      <c r="P211" s="162"/>
    </row>
    <row r="212" spans="1:16" ht="20.100000000000001" customHeight="1">
      <c r="A212" s="228"/>
      <c r="B212" s="39"/>
      <c r="C212" s="170" t="s">
        <v>192</v>
      </c>
      <c r="D212" s="251">
        <v>2</v>
      </c>
      <c r="E212" s="252">
        <v>2.61</v>
      </c>
      <c r="F212" s="252">
        <v>0.7</v>
      </c>
      <c r="G212" s="253"/>
      <c r="H212" s="193">
        <f>F212*E212*D212</f>
        <v>3.6539999999999995</v>
      </c>
      <c r="I212" s="185" t="s">
        <v>366</v>
      </c>
      <c r="J212" s="151"/>
      <c r="K212" s="151"/>
      <c r="L212" s="1"/>
      <c r="N212" s="167"/>
      <c r="O212" s="162"/>
      <c r="P212" s="162"/>
    </row>
    <row r="213" spans="1:16" ht="20.100000000000001" customHeight="1">
      <c r="A213" s="228"/>
      <c r="B213" s="39"/>
      <c r="C213" s="170" t="s">
        <v>194</v>
      </c>
      <c r="D213" s="251">
        <v>1</v>
      </c>
      <c r="E213" s="252">
        <v>2.61</v>
      </c>
      <c r="F213" s="252">
        <v>0.6</v>
      </c>
      <c r="G213" s="253"/>
      <c r="H213" s="193">
        <f>F213*E213*D213</f>
        <v>1.5659999999999998</v>
      </c>
      <c r="I213" s="185" t="s">
        <v>366</v>
      </c>
      <c r="J213" s="151"/>
      <c r="K213" s="151"/>
      <c r="L213" s="1"/>
      <c r="N213" s="167"/>
      <c r="O213" s="162"/>
      <c r="P213" s="162"/>
    </row>
    <row r="214" spans="1:16" ht="20.100000000000001" customHeight="1">
      <c r="A214" s="228"/>
      <c r="B214" s="39"/>
      <c r="C214" s="170" t="s">
        <v>215</v>
      </c>
      <c r="D214" s="254">
        <v>1</v>
      </c>
      <c r="E214" s="255">
        <v>2.1</v>
      </c>
      <c r="F214" s="255">
        <v>4</v>
      </c>
      <c r="G214" s="253"/>
      <c r="H214" s="193">
        <f>F214*E214*D214</f>
        <v>8.4</v>
      </c>
      <c r="I214" s="185" t="s">
        <v>366</v>
      </c>
      <c r="J214" s="151"/>
      <c r="K214" s="151"/>
      <c r="L214" s="1"/>
      <c r="N214" s="167"/>
      <c r="O214" s="162"/>
      <c r="P214" s="162"/>
    </row>
    <row r="215" spans="1:16" ht="20.100000000000001" customHeight="1">
      <c r="A215" s="228"/>
      <c r="B215" s="39"/>
      <c r="C215" s="170" t="s">
        <v>194</v>
      </c>
      <c r="D215" s="254">
        <v>1</v>
      </c>
      <c r="E215" s="255">
        <v>2.1</v>
      </c>
      <c r="F215" s="255">
        <v>0.4</v>
      </c>
      <c r="G215" s="253"/>
      <c r="H215" s="193">
        <f>F215*E215*D215</f>
        <v>0.84000000000000008</v>
      </c>
      <c r="I215" s="185" t="s">
        <v>366</v>
      </c>
      <c r="J215" s="151"/>
      <c r="K215" s="151"/>
      <c r="L215" s="1"/>
      <c r="N215" s="167"/>
      <c r="O215" s="162"/>
      <c r="P215" s="162"/>
    </row>
    <row r="216" spans="1:16" ht="20.100000000000001" customHeight="1">
      <c r="A216" s="228"/>
      <c r="B216" s="39"/>
      <c r="C216" s="170" t="s">
        <v>216</v>
      </c>
      <c r="D216" s="254">
        <v>2</v>
      </c>
      <c r="E216" s="255">
        <v>1.7</v>
      </c>
      <c r="F216" s="255">
        <v>1</v>
      </c>
      <c r="G216" s="253"/>
      <c r="H216" s="193">
        <f>F216*E216*D216</f>
        <v>3.4</v>
      </c>
      <c r="I216" s="185" t="s">
        <v>366</v>
      </c>
      <c r="J216" s="151"/>
      <c r="K216" s="151"/>
      <c r="L216" s="1"/>
      <c r="N216" s="167"/>
      <c r="O216" s="162"/>
      <c r="P216" s="162"/>
    </row>
    <row r="217" spans="1:16" ht="20.100000000000001" customHeight="1">
      <c r="A217" s="228"/>
      <c r="B217" s="39"/>
      <c r="C217" s="248" t="s">
        <v>167</v>
      </c>
      <c r="D217" s="34"/>
      <c r="E217" s="35"/>
      <c r="F217" s="205"/>
      <c r="G217" s="206"/>
      <c r="H217" s="189"/>
      <c r="I217" s="229"/>
      <c r="J217" s="191"/>
      <c r="K217" s="191"/>
      <c r="L217" s="1"/>
      <c r="N217" s="167"/>
      <c r="O217" s="162"/>
      <c r="P217" s="162"/>
    </row>
    <row r="218" spans="1:16" ht="20.100000000000001" customHeight="1">
      <c r="A218" s="228"/>
      <c r="B218" s="39"/>
      <c r="C218" s="170" t="s">
        <v>149</v>
      </c>
      <c r="D218" s="34"/>
      <c r="E218" s="35"/>
      <c r="F218" s="205"/>
      <c r="G218" s="206"/>
      <c r="H218" s="189"/>
      <c r="I218" s="229"/>
      <c r="J218" s="191"/>
      <c r="K218" s="191"/>
      <c r="L218" s="1"/>
      <c r="N218" s="167"/>
      <c r="O218" s="162"/>
      <c r="P218" s="162"/>
    </row>
    <row r="219" spans="1:16" ht="20.100000000000001" customHeight="1">
      <c r="A219" s="228"/>
      <c r="B219" s="39"/>
      <c r="C219" s="170" t="s">
        <v>171</v>
      </c>
      <c r="D219" s="34">
        <v>-8</v>
      </c>
      <c r="E219" s="35">
        <v>1.5</v>
      </c>
      <c r="F219" s="205">
        <v>1.2</v>
      </c>
      <c r="G219" s="206"/>
      <c r="H219" s="193">
        <f>F219*E219*D219</f>
        <v>-14.399999999999999</v>
      </c>
      <c r="I219" s="185" t="s">
        <v>366</v>
      </c>
      <c r="J219" s="151"/>
      <c r="K219" s="151"/>
      <c r="L219" s="1"/>
      <c r="N219" s="167"/>
      <c r="O219" s="162"/>
      <c r="P219" s="162"/>
    </row>
    <row r="220" spans="1:16" ht="20.100000000000001" customHeight="1">
      <c r="A220" s="228"/>
      <c r="B220" s="39"/>
      <c r="C220" s="170" t="s">
        <v>172</v>
      </c>
      <c r="D220" s="34"/>
      <c r="E220" s="35"/>
      <c r="F220" s="205"/>
      <c r="G220" s="206"/>
      <c r="H220" s="189"/>
      <c r="I220" s="229"/>
      <c r="J220" s="191"/>
      <c r="K220" s="191"/>
      <c r="L220" s="1"/>
      <c r="N220" s="167"/>
      <c r="O220" s="162"/>
      <c r="P220" s="162"/>
    </row>
    <row r="221" spans="1:16" ht="20.100000000000001" customHeight="1">
      <c r="A221" s="228"/>
      <c r="B221" s="39"/>
      <c r="C221" s="170" t="s">
        <v>173</v>
      </c>
      <c r="D221" s="34">
        <v>-8</v>
      </c>
      <c r="E221" s="35">
        <v>1</v>
      </c>
      <c r="F221" s="205">
        <v>1.2</v>
      </c>
      <c r="G221" s="206"/>
      <c r="H221" s="193">
        <f>F221*E221*D221</f>
        <v>-9.6</v>
      </c>
      <c r="I221" s="185" t="s">
        <v>366</v>
      </c>
      <c r="J221" s="151"/>
      <c r="K221" s="151"/>
      <c r="L221" s="1"/>
      <c r="N221" s="167"/>
      <c r="O221" s="162"/>
      <c r="P221" s="162"/>
    </row>
    <row r="222" spans="1:16" ht="20.100000000000001" customHeight="1">
      <c r="A222" s="228"/>
      <c r="B222" s="39"/>
      <c r="C222" s="170" t="s">
        <v>204</v>
      </c>
      <c r="D222" s="34"/>
      <c r="E222" s="35"/>
      <c r="F222" s="205"/>
      <c r="G222" s="206"/>
      <c r="H222" s="189"/>
      <c r="I222" s="229"/>
      <c r="J222" s="191"/>
      <c r="K222" s="191"/>
      <c r="L222" s="1"/>
      <c r="N222" s="167"/>
      <c r="O222" s="162"/>
      <c r="P222" s="162"/>
    </row>
    <row r="223" spans="1:16" ht="20.100000000000001" customHeight="1">
      <c r="A223" s="228"/>
      <c r="B223" s="39"/>
      <c r="C223" s="170" t="s">
        <v>175</v>
      </c>
      <c r="D223" s="34">
        <f>-8</f>
        <v>-8</v>
      </c>
      <c r="E223" s="35">
        <v>0.6</v>
      </c>
      <c r="F223" s="205">
        <v>0.2</v>
      </c>
      <c r="G223" s="206"/>
      <c r="H223" s="193">
        <f>F223*E223*D223</f>
        <v>-0.96</v>
      </c>
      <c r="I223" s="185" t="s">
        <v>366</v>
      </c>
      <c r="J223" s="151"/>
      <c r="K223" s="151"/>
      <c r="L223" s="1"/>
      <c r="N223" s="167"/>
      <c r="O223" s="162"/>
      <c r="P223" s="162"/>
    </row>
    <row r="224" spans="1:16" ht="20.100000000000001" customHeight="1">
      <c r="A224" s="228"/>
      <c r="B224" s="39"/>
      <c r="C224" s="170" t="s">
        <v>159</v>
      </c>
      <c r="D224" s="34"/>
      <c r="E224" s="35"/>
      <c r="F224" s="205"/>
      <c r="G224" s="206"/>
      <c r="H224" s="189"/>
      <c r="I224" s="229"/>
      <c r="J224" s="191"/>
      <c r="K224" s="191"/>
      <c r="L224" s="1"/>
      <c r="N224" s="167"/>
      <c r="O224" s="162"/>
      <c r="P224" s="162"/>
    </row>
    <row r="225" spans="1:16" ht="20.100000000000001" customHeight="1">
      <c r="A225" s="228"/>
      <c r="B225" s="39"/>
      <c r="C225" s="170" t="s">
        <v>174</v>
      </c>
      <c r="D225" s="34">
        <v>-8</v>
      </c>
      <c r="E225" s="35">
        <v>0.6</v>
      </c>
      <c r="F225" s="205">
        <v>1.2</v>
      </c>
      <c r="G225" s="206"/>
      <c r="H225" s="193">
        <f>F225*E225*D225</f>
        <v>-5.76</v>
      </c>
      <c r="I225" s="185" t="s">
        <v>366</v>
      </c>
      <c r="J225" s="151"/>
      <c r="K225" s="151"/>
      <c r="L225" s="1"/>
      <c r="N225" s="167"/>
      <c r="O225" s="162"/>
      <c r="P225" s="162"/>
    </row>
    <row r="226" spans="1:16" ht="20.100000000000001" customHeight="1">
      <c r="A226" s="228"/>
      <c r="B226" s="39"/>
      <c r="C226" s="170" t="s">
        <v>205</v>
      </c>
      <c r="D226" s="34"/>
      <c r="E226" s="35"/>
      <c r="F226" s="205"/>
      <c r="G226" s="206"/>
      <c r="H226" s="189"/>
      <c r="I226" s="229"/>
      <c r="J226" s="191"/>
      <c r="K226" s="191"/>
      <c r="L226" s="1"/>
      <c r="N226" s="167"/>
      <c r="O226" s="162"/>
      <c r="P226" s="162"/>
    </row>
    <row r="227" spans="1:16" ht="20.100000000000001" customHeight="1">
      <c r="A227" s="228"/>
      <c r="B227" s="39"/>
      <c r="C227" s="170" t="s">
        <v>206</v>
      </c>
      <c r="D227" s="34">
        <v>-1</v>
      </c>
      <c r="E227" s="35">
        <v>2.15</v>
      </c>
      <c r="F227" s="205">
        <v>2</v>
      </c>
      <c r="G227" s="206"/>
      <c r="H227" s="193">
        <f>F227*E227*D227</f>
        <v>-4.3</v>
      </c>
      <c r="I227" s="185" t="s">
        <v>366</v>
      </c>
      <c r="J227" s="151"/>
      <c r="K227" s="151"/>
      <c r="L227" s="1"/>
      <c r="N227" s="167"/>
      <c r="O227" s="162"/>
      <c r="P227" s="162"/>
    </row>
    <row r="228" spans="1:16" ht="20.100000000000001" customHeight="1">
      <c r="A228" s="228"/>
      <c r="B228" s="39"/>
      <c r="C228" s="170"/>
      <c r="D228" s="257"/>
      <c r="E228" s="257"/>
      <c r="F228" s="850" t="s">
        <v>263</v>
      </c>
      <c r="G228" s="851"/>
      <c r="H228" s="189">
        <f>SUM(H188:H227)</f>
        <v>1022.0400000000004</v>
      </c>
      <c r="I228" s="229" t="s">
        <v>368</v>
      </c>
      <c r="J228" s="191"/>
      <c r="K228" s="191"/>
      <c r="L228" s="1"/>
      <c r="N228" s="167"/>
      <c r="O228" s="162"/>
      <c r="P228" s="162"/>
    </row>
    <row r="229" spans="1:16" ht="20.100000000000001" customHeight="1">
      <c r="A229" s="279"/>
      <c r="B229" s="103"/>
      <c r="C229" s="360"/>
      <c r="D229" s="851" t="s">
        <v>298</v>
      </c>
      <c r="E229" s="851"/>
      <c r="F229" s="856"/>
      <c r="G229" s="362" t="s">
        <v>10</v>
      </c>
      <c r="H229" s="233">
        <f>ROUNDUP(H228,0)</f>
        <v>1023</v>
      </c>
      <c r="I229" s="234" t="s">
        <v>373</v>
      </c>
      <c r="J229" s="359"/>
      <c r="K229" s="351"/>
      <c r="L229" s="1"/>
      <c r="N229" s="167"/>
      <c r="O229" s="162"/>
      <c r="P229" s="162"/>
    </row>
    <row r="230" spans="1:16" ht="20.100000000000001" customHeight="1">
      <c r="A230" s="228"/>
      <c r="B230" s="39"/>
      <c r="C230" s="170"/>
      <c r="D230" s="365"/>
      <c r="E230" s="365"/>
      <c r="F230" s="259"/>
      <c r="G230" s="236"/>
      <c r="H230" s="189"/>
      <c r="I230" s="229"/>
      <c r="J230" s="191"/>
      <c r="K230" s="151"/>
      <c r="L230" s="1"/>
      <c r="N230" s="167"/>
      <c r="O230" s="162"/>
      <c r="P230" s="162"/>
    </row>
    <row r="231" spans="1:16" ht="20.100000000000001" customHeight="1">
      <c r="A231" s="228"/>
      <c r="B231" s="260" t="s">
        <v>299</v>
      </c>
      <c r="C231" s="101" t="s">
        <v>179</v>
      </c>
      <c r="D231" s="249"/>
      <c r="E231" s="249"/>
      <c r="F231" s="249"/>
      <c r="G231" s="250"/>
      <c r="H231" s="189"/>
      <c r="I231" s="229"/>
      <c r="J231" s="191"/>
      <c r="K231" s="191"/>
      <c r="L231" s="1"/>
      <c r="N231" s="167"/>
      <c r="O231" s="162"/>
      <c r="P231" s="162"/>
    </row>
    <row r="232" spans="1:16" ht="20.100000000000001" customHeight="1">
      <c r="A232" s="228"/>
      <c r="B232" s="39"/>
      <c r="C232" s="170" t="s">
        <v>180</v>
      </c>
      <c r="D232" s="254">
        <v>2</v>
      </c>
      <c r="E232" s="254">
        <v>20.309999999999999</v>
      </c>
      <c r="F232" s="255">
        <v>10.7</v>
      </c>
      <c r="G232" s="253"/>
      <c r="H232" s="193">
        <f>F232*E232*D232</f>
        <v>434.63399999999996</v>
      </c>
      <c r="I232" s="185" t="s">
        <v>366</v>
      </c>
      <c r="J232" s="151"/>
      <c r="K232" s="151"/>
      <c r="L232" s="1"/>
      <c r="N232" s="167"/>
      <c r="O232" s="162"/>
      <c r="P232" s="162"/>
    </row>
    <row r="233" spans="1:16" ht="20.100000000000001" customHeight="1">
      <c r="A233" s="228"/>
      <c r="B233" s="39"/>
      <c r="C233" s="170" t="s">
        <v>181</v>
      </c>
      <c r="D233" s="254" t="s">
        <v>131</v>
      </c>
      <c r="E233" s="255">
        <v>1.33</v>
      </c>
      <c r="F233" s="255">
        <v>8</v>
      </c>
      <c r="G233" s="253"/>
      <c r="H233" s="193">
        <f>F233*E233*2*4</f>
        <v>85.12</v>
      </c>
      <c r="I233" s="185" t="s">
        <v>366</v>
      </c>
      <c r="J233" s="151"/>
      <c r="K233" s="151"/>
      <c r="L233" s="1"/>
      <c r="N233" s="167"/>
      <c r="O233" s="162"/>
      <c r="P233" s="162"/>
    </row>
    <row r="234" spans="1:16" ht="20.100000000000001" customHeight="1">
      <c r="A234" s="228"/>
      <c r="B234" s="39"/>
      <c r="C234" s="170" t="s">
        <v>182</v>
      </c>
      <c r="D234" s="254">
        <v>2</v>
      </c>
      <c r="E234" s="255">
        <v>1.2</v>
      </c>
      <c r="F234" s="255">
        <v>2.15</v>
      </c>
      <c r="G234" s="253"/>
      <c r="H234" s="193">
        <f>F234*E234*D234</f>
        <v>5.1599999999999993</v>
      </c>
      <c r="I234" s="185" t="s">
        <v>366</v>
      </c>
      <c r="J234" s="151"/>
      <c r="K234" s="151"/>
      <c r="L234" s="1"/>
      <c r="N234" s="167"/>
      <c r="O234" s="162"/>
      <c r="P234" s="162"/>
    </row>
    <row r="235" spans="1:16" ht="20.100000000000001" customHeight="1">
      <c r="A235" s="228"/>
      <c r="B235" s="39"/>
      <c r="C235" s="170" t="s">
        <v>183</v>
      </c>
      <c r="D235" s="254">
        <v>2</v>
      </c>
      <c r="E235" s="255">
        <v>6.7</v>
      </c>
      <c r="F235" s="255">
        <v>8</v>
      </c>
      <c r="G235" s="253"/>
      <c r="H235" s="193">
        <f>F235*E235*D235</f>
        <v>107.2</v>
      </c>
      <c r="I235" s="185" t="s">
        <v>366</v>
      </c>
      <c r="J235" s="151"/>
      <c r="K235" s="151"/>
      <c r="L235" s="1"/>
      <c r="N235" s="167"/>
      <c r="O235" s="162"/>
      <c r="P235" s="162"/>
    </row>
    <row r="236" spans="1:16" ht="20.100000000000001" customHeight="1">
      <c r="A236" s="228"/>
      <c r="B236" s="39"/>
      <c r="C236" s="170" t="s">
        <v>184</v>
      </c>
      <c r="D236" s="261"/>
      <c r="E236" s="261"/>
      <c r="F236" s="261"/>
      <c r="G236" s="250"/>
      <c r="H236" s="189"/>
      <c r="I236" s="229"/>
      <c r="J236" s="191"/>
      <c r="K236" s="191"/>
      <c r="L236" s="1"/>
      <c r="N236" s="167"/>
      <c r="O236" s="162"/>
      <c r="P236" s="162"/>
    </row>
    <row r="237" spans="1:16" ht="20.100000000000001" customHeight="1">
      <c r="A237" s="228"/>
      <c r="B237" s="39"/>
      <c r="C237" s="170" t="s">
        <v>185</v>
      </c>
      <c r="D237" s="254">
        <v>2</v>
      </c>
      <c r="E237" s="255">
        <v>2.35</v>
      </c>
      <c r="F237" s="255">
        <v>8</v>
      </c>
      <c r="G237" s="253"/>
      <c r="H237" s="193">
        <f>F237*E237*D237</f>
        <v>37.6</v>
      </c>
      <c r="I237" s="185" t="s">
        <v>366</v>
      </c>
      <c r="J237" s="151"/>
      <c r="K237" s="151"/>
      <c r="L237" s="1"/>
      <c r="N237" s="167"/>
      <c r="O237" s="162"/>
      <c r="P237" s="162"/>
    </row>
    <row r="238" spans="1:16" ht="20.100000000000001" customHeight="1">
      <c r="A238" s="228"/>
      <c r="B238" s="39"/>
      <c r="C238" s="170" t="s">
        <v>186</v>
      </c>
      <c r="D238" s="254">
        <v>2</v>
      </c>
      <c r="E238" s="255">
        <v>2.35</v>
      </c>
      <c r="F238" s="255">
        <v>1.6</v>
      </c>
      <c r="G238" s="253"/>
      <c r="H238" s="193">
        <f>F238*E238*D238</f>
        <v>7.5200000000000005</v>
      </c>
      <c r="I238" s="185" t="s">
        <v>366</v>
      </c>
      <c r="J238" s="151"/>
      <c r="K238" s="151"/>
      <c r="L238" s="1"/>
      <c r="N238" s="167"/>
      <c r="O238" s="162"/>
      <c r="P238" s="162"/>
    </row>
    <row r="239" spans="1:16" ht="20.100000000000001" customHeight="1">
      <c r="A239" s="228"/>
      <c r="B239" s="39"/>
      <c r="C239" s="170" t="s">
        <v>187</v>
      </c>
      <c r="D239" s="254">
        <v>2</v>
      </c>
      <c r="E239" s="255">
        <v>0.7</v>
      </c>
      <c r="F239" s="255">
        <v>8</v>
      </c>
      <c r="G239" s="253"/>
      <c r="H239" s="193">
        <f>F239*E239*D239</f>
        <v>11.2</v>
      </c>
      <c r="I239" s="185" t="s">
        <v>366</v>
      </c>
      <c r="J239" s="151"/>
      <c r="K239" s="151"/>
      <c r="L239" s="1"/>
      <c r="N239" s="167"/>
      <c r="O239" s="162"/>
      <c r="P239" s="162"/>
    </row>
    <row r="240" spans="1:16" ht="20.100000000000001" customHeight="1">
      <c r="A240" s="228"/>
      <c r="B240" s="39"/>
      <c r="C240" s="170"/>
      <c r="D240" s="254">
        <v>2</v>
      </c>
      <c r="E240" s="255">
        <v>0.7</v>
      </c>
      <c r="F240" s="255">
        <v>1.6</v>
      </c>
      <c r="G240" s="253"/>
      <c r="H240" s="193">
        <f>F240*E240*D240</f>
        <v>2.2399999999999998</v>
      </c>
      <c r="I240" s="185" t="s">
        <v>366</v>
      </c>
      <c r="J240" s="151"/>
      <c r="K240" s="151"/>
      <c r="L240" s="1"/>
      <c r="N240" s="167"/>
      <c r="O240" s="162"/>
      <c r="P240" s="162"/>
    </row>
    <row r="241" spans="1:16" ht="20.100000000000001" customHeight="1">
      <c r="A241" s="228"/>
      <c r="B241" s="39"/>
      <c r="C241" s="170" t="s">
        <v>188</v>
      </c>
      <c r="D241" s="261"/>
      <c r="E241" s="261"/>
      <c r="F241" s="261"/>
      <c r="G241" s="250"/>
      <c r="H241" s="189"/>
      <c r="I241" s="229"/>
      <c r="J241" s="191"/>
      <c r="K241" s="191"/>
      <c r="L241" s="1"/>
      <c r="N241" s="167"/>
      <c r="O241" s="162"/>
      <c r="P241" s="162"/>
    </row>
    <row r="242" spans="1:16" ht="20.100000000000001" customHeight="1">
      <c r="A242" s="228"/>
      <c r="B242" s="39"/>
      <c r="C242" s="158" t="s">
        <v>189</v>
      </c>
      <c r="D242" s="262">
        <v>2</v>
      </c>
      <c r="E242" s="263">
        <v>3.5</v>
      </c>
      <c r="F242" s="263">
        <v>3.2</v>
      </c>
      <c r="G242" s="257"/>
      <c r="H242" s="193">
        <f>F242*E242*D242</f>
        <v>22.400000000000002</v>
      </c>
      <c r="I242" s="185" t="s">
        <v>366</v>
      </c>
      <c r="J242" s="151"/>
      <c r="K242" s="151"/>
      <c r="L242" s="1"/>
      <c r="N242" s="167"/>
      <c r="O242" s="162"/>
      <c r="P242" s="162"/>
    </row>
    <row r="243" spans="1:16" ht="20.100000000000001" customHeight="1">
      <c r="A243" s="228"/>
      <c r="B243" s="39"/>
      <c r="C243" s="158" t="s">
        <v>190</v>
      </c>
      <c r="D243" s="262">
        <v>2</v>
      </c>
      <c r="E243" s="263">
        <v>2.7</v>
      </c>
      <c r="F243" s="263">
        <v>1.6</v>
      </c>
      <c r="G243" s="257"/>
      <c r="H243" s="193">
        <f>F243*E243*D243</f>
        <v>8.64</v>
      </c>
      <c r="I243" s="185" t="s">
        <v>366</v>
      </c>
      <c r="J243" s="151"/>
      <c r="K243" s="151"/>
      <c r="L243" s="1"/>
      <c r="N243" s="167"/>
      <c r="O243" s="162"/>
      <c r="P243" s="162"/>
    </row>
    <row r="244" spans="1:16" ht="20.100000000000001" customHeight="1">
      <c r="A244" s="228"/>
      <c r="B244" s="39"/>
      <c r="C244" s="170" t="s">
        <v>195</v>
      </c>
      <c r="D244" s="261"/>
      <c r="E244" s="261"/>
      <c r="F244" s="261"/>
      <c r="G244" s="250"/>
      <c r="H244" s="189"/>
      <c r="I244" s="229"/>
      <c r="J244" s="191"/>
      <c r="K244" s="191"/>
      <c r="L244" s="1"/>
      <c r="N244" s="167"/>
      <c r="O244" s="162"/>
      <c r="P244" s="162"/>
    </row>
    <row r="245" spans="1:16" ht="20.100000000000001" customHeight="1">
      <c r="A245" s="228"/>
      <c r="B245" s="39"/>
      <c r="C245" s="170" t="s">
        <v>192</v>
      </c>
      <c r="D245" s="254" t="s">
        <v>191</v>
      </c>
      <c r="E245" s="255">
        <v>2.2000000000000002</v>
      </c>
      <c r="F245" s="255">
        <v>0.8</v>
      </c>
      <c r="G245" s="256"/>
      <c r="H245" s="193">
        <f>F245*E245*2*8</f>
        <v>28.160000000000004</v>
      </c>
      <c r="I245" s="185" t="s">
        <v>366</v>
      </c>
      <c r="J245" s="151"/>
      <c r="K245" s="151"/>
      <c r="L245" s="1"/>
      <c r="N245" s="167"/>
      <c r="O245" s="162"/>
      <c r="P245" s="162"/>
    </row>
    <row r="246" spans="1:16" ht="20.100000000000001" customHeight="1">
      <c r="A246" s="228"/>
      <c r="B246" s="39"/>
      <c r="C246" s="170" t="s">
        <v>193</v>
      </c>
      <c r="D246" s="254" t="s">
        <v>191</v>
      </c>
      <c r="E246" s="255">
        <v>1</v>
      </c>
      <c r="F246" s="255">
        <v>0.1</v>
      </c>
      <c r="G246" s="256"/>
      <c r="H246" s="193">
        <f>F246*E246*2*8</f>
        <v>1.6</v>
      </c>
      <c r="I246" s="185" t="s">
        <v>366</v>
      </c>
      <c r="J246" s="151"/>
      <c r="K246" s="151"/>
      <c r="L246" s="1"/>
      <c r="N246" s="167"/>
      <c r="O246" s="162"/>
      <c r="P246" s="162"/>
    </row>
    <row r="247" spans="1:16" ht="20.100000000000001" customHeight="1">
      <c r="A247" s="228"/>
      <c r="B247" s="39"/>
      <c r="C247" s="170" t="s">
        <v>194</v>
      </c>
      <c r="D247" s="254">
        <v>8</v>
      </c>
      <c r="E247" s="255">
        <v>2.2000000000000002</v>
      </c>
      <c r="F247" s="255">
        <v>0.6</v>
      </c>
      <c r="G247" s="253"/>
      <c r="H247" s="193">
        <f>F247*E247*D247</f>
        <v>10.56</v>
      </c>
      <c r="I247" s="185" t="s">
        <v>366</v>
      </c>
      <c r="J247" s="151"/>
      <c r="K247" s="151"/>
      <c r="L247" s="1"/>
      <c r="N247" s="167"/>
      <c r="O247" s="162"/>
      <c r="P247" s="162"/>
    </row>
    <row r="248" spans="1:16" ht="20.100000000000001" customHeight="1">
      <c r="A248" s="228"/>
      <c r="B248" s="39"/>
      <c r="C248" s="170" t="s">
        <v>196</v>
      </c>
      <c r="D248" s="261"/>
      <c r="E248" s="261"/>
      <c r="F248" s="261"/>
      <c r="G248" s="250"/>
      <c r="H248" s="189"/>
      <c r="I248" s="229"/>
      <c r="J248" s="191"/>
      <c r="K248" s="191"/>
      <c r="L248" s="1"/>
      <c r="N248" s="167"/>
      <c r="O248" s="162"/>
      <c r="P248" s="162"/>
    </row>
    <row r="249" spans="1:16" ht="20.100000000000001" customHeight="1">
      <c r="A249" s="228"/>
      <c r="B249" s="39"/>
      <c r="C249" s="170" t="s">
        <v>192</v>
      </c>
      <c r="D249" s="254" t="s">
        <v>191</v>
      </c>
      <c r="E249" s="255">
        <v>1.1000000000000001</v>
      </c>
      <c r="F249" s="255">
        <v>0.8</v>
      </c>
      <c r="G249" s="256"/>
      <c r="H249" s="193">
        <f>F249*E249*2*8</f>
        <v>14.080000000000002</v>
      </c>
      <c r="I249" s="185" t="s">
        <v>366</v>
      </c>
      <c r="J249" s="151"/>
      <c r="K249" s="151"/>
      <c r="L249" s="1"/>
      <c r="N249" s="167"/>
      <c r="O249" s="162"/>
      <c r="P249" s="162"/>
    </row>
    <row r="250" spans="1:16" ht="20.100000000000001" customHeight="1">
      <c r="A250" s="228"/>
      <c r="B250" s="39"/>
      <c r="C250" s="170" t="s">
        <v>193</v>
      </c>
      <c r="D250" s="254" t="s">
        <v>191</v>
      </c>
      <c r="E250" s="255">
        <v>1</v>
      </c>
      <c r="F250" s="255">
        <v>0.1</v>
      </c>
      <c r="G250" s="256"/>
      <c r="H250" s="193">
        <f>F250*E250*2*8</f>
        <v>1.6</v>
      </c>
      <c r="I250" s="185" t="s">
        <v>366</v>
      </c>
      <c r="J250" s="151"/>
      <c r="K250" s="151"/>
      <c r="L250" s="1"/>
      <c r="N250" s="167"/>
      <c r="O250" s="162"/>
      <c r="P250" s="162"/>
    </row>
    <row r="251" spans="1:16" ht="20.100000000000001" customHeight="1">
      <c r="A251" s="228"/>
      <c r="B251" s="39"/>
      <c r="C251" s="170" t="s">
        <v>194</v>
      </c>
      <c r="D251" s="254">
        <v>8</v>
      </c>
      <c r="E251" s="255">
        <v>1.1000000000000001</v>
      </c>
      <c r="F251" s="255">
        <v>0.6</v>
      </c>
      <c r="G251" s="253"/>
      <c r="H251" s="193">
        <f>F251*E251*D251</f>
        <v>5.28</v>
      </c>
      <c r="I251" s="185" t="s">
        <v>366</v>
      </c>
      <c r="J251" s="151"/>
      <c r="K251" s="151"/>
      <c r="L251" s="1"/>
      <c r="N251" s="167"/>
      <c r="O251" s="162"/>
      <c r="P251" s="162"/>
    </row>
    <row r="252" spans="1:16" ht="20.100000000000001" customHeight="1">
      <c r="A252" s="228"/>
      <c r="B252" s="39"/>
      <c r="C252" s="170" t="s">
        <v>197</v>
      </c>
      <c r="D252" s="264"/>
      <c r="E252" s="264"/>
      <c r="F252" s="264"/>
      <c r="G252" s="253"/>
      <c r="H252" s="193"/>
      <c r="I252" s="185"/>
      <c r="J252" s="265"/>
      <c r="K252" s="265"/>
      <c r="L252" s="1"/>
      <c r="N252" s="167"/>
      <c r="O252" s="162"/>
      <c r="P252" s="162"/>
    </row>
    <row r="253" spans="1:16" ht="20.100000000000001" customHeight="1">
      <c r="A253" s="228"/>
      <c r="B253" s="39"/>
      <c r="C253" s="170" t="s">
        <v>192</v>
      </c>
      <c r="D253" s="254" t="s">
        <v>191</v>
      </c>
      <c r="E253" s="255">
        <v>1.6</v>
      </c>
      <c r="F253" s="255">
        <v>0.8</v>
      </c>
      <c r="G253" s="256"/>
      <c r="H253" s="193">
        <f>F253*E253*2*8</f>
        <v>20.480000000000004</v>
      </c>
      <c r="I253" s="185" t="s">
        <v>366</v>
      </c>
      <c r="J253" s="151"/>
      <c r="K253" s="151"/>
      <c r="L253" s="1"/>
      <c r="N253" s="167"/>
      <c r="O253" s="162"/>
      <c r="P253" s="162"/>
    </row>
    <row r="254" spans="1:16" ht="20.100000000000001" customHeight="1">
      <c r="A254" s="228"/>
      <c r="B254" s="39"/>
      <c r="C254" s="170" t="s">
        <v>193</v>
      </c>
      <c r="D254" s="254" t="s">
        <v>191</v>
      </c>
      <c r="E254" s="255">
        <v>1</v>
      </c>
      <c r="F254" s="255">
        <v>0.1</v>
      </c>
      <c r="G254" s="256"/>
      <c r="H254" s="193">
        <f>F254*E254*2*8</f>
        <v>1.6</v>
      </c>
      <c r="I254" s="185" t="s">
        <v>366</v>
      </c>
      <c r="J254" s="151"/>
      <c r="K254" s="151"/>
      <c r="L254" s="1"/>
      <c r="N254" s="167"/>
      <c r="O254" s="162"/>
      <c r="P254" s="162"/>
    </row>
    <row r="255" spans="1:16" ht="20.100000000000001" customHeight="1">
      <c r="A255" s="228"/>
      <c r="B255" s="39"/>
      <c r="C255" s="170" t="s">
        <v>194</v>
      </c>
      <c r="D255" s="254">
        <v>8</v>
      </c>
      <c r="E255" s="255">
        <v>1.6</v>
      </c>
      <c r="F255" s="255">
        <v>0.6</v>
      </c>
      <c r="G255" s="253"/>
      <c r="H255" s="193">
        <f>F255*E255*D255</f>
        <v>7.68</v>
      </c>
      <c r="I255" s="185" t="s">
        <v>366</v>
      </c>
      <c r="J255" s="151"/>
      <c r="K255" s="151"/>
      <c r="L255" s="1"/>
      <c r="N255" s="167"/>
      <c r="O255" s="162"/>
      <c r="P255" s="162"/>
    </row>
    <row r="256" spans="1:16" ht="20.100000000000001" customHeight="1">
      <c r="A256" s="228"/>
      <c r="B256" s="39"/>
      <c r="C256" s="170" t="s">
        <v>198</v>
      </c>
      <c r="D256" s="264"/>
      <c r="E256" s="264"/>
      <c r="F256" s="264"/>
      <c r="G256" s="253"/>
      <c r="H256" s="193"/>
      <c r="I256" s="185"/>
      <c r="J256" s="265"/>
      <c r="K256" s="265"/>
      <c r="L256" s="1"/>
      <c r="N256" s="167"/>
      <c r="O256" s="162"/>
      <c r="P256" s="162"/>
    </row>
    <row r="257" spans="1:16" ht="20.100000000000001" customHeight="1">
      <c r="A257" s="228"/>
      <c r="B257" s="39"/>
      <c r="C257" s="170" t="s">
        <v>192</v>
      </c>
      <c r="D257" s="254">
        <v>2</v>
      </c>
      <c r="E257" s="255">
        <v>2.7</v>
      </c>
      <c r="F257" s="255">
        <v>0.8</v>
      </c>
      <c r="G257" s="256"/>
      <c r="H257" s="193">
        <f>F257*E257*D257</f>
        <v>4.32</v>
      </c>
      <c r="I257" s="185" t="s">
        <v>366</v>
      </c>
      <c r="J257" s="151"/>
      <c r="K257" s="151"/>
      <c r="L257" s="1"/>
      <c r="N257" s="167"/>
      <c r="O257" s="162"/>
      <c r="P257" s="162"/>
    </row>
    <row r="258" spans="1:16" ht="20.100000000000001" customHeight="1">
      <c r="A258" s="228"/>
      <c r="B258" s="39"/>
      <c r="C258" s="170" t="s">
        <v>194</v>
      </c>
      <c r="D258" s="254">
        <v>1</v>
      </c>
      <c r="E258" s="255">
        <v>2.7</v>
      </c>
      <c r="F258" s="255">
        <v>0.9</v>
      </c>
      <c r="G258" s="253"/>
      <c r="H258" s="193">
        <f>F258*E258*D258</f>
        <v>2.4300000000000002</v>
      </c>
      <c r="I258" s="185" t="s">
        <v>366</v>
      </c>
      <c r="J258" s="151"/>
      <c r="K258" s="151"/>
      <c r="L258" s="1"/>
      <c r="N258" s="167"/>
      <c r="O258" s="162"/>
      <c r="P258" s="162"/>
    </row>
    <row r="259" spans="1:16" ht="20.100000000000001" customHeight="1">
      <c r="A259" s="228"/>
      <c r="B259" s="39"/>
      <c r="C259" s="170" t="s">
        <v>199</v>
      </c>
      <c r="D259" s="264"/>
      <c r="E259" s="264"/>
      <c r="F259" s="264"/>
      <c r="G259" s="253"/>
      <c r="H259" s="193"/>
      <c r="I259" s="185"/>
      <c r="J259" s="265"/>
      <c r="K259" s="265"/>
      <c r="L259" s="1"/>
      <c r="N259" s="167"/>
      <c r="O259" s="162"/>
      <c r="P259" s="162"/>
    </row>
    <row r="260" spans="1:16" ht="20.100000000000001" customHeight="1">
      <c r="A260" s="228"/>
      <c r="B260" s="39"/>
      <c r="C260" s="170" t="s">
        <v>192</v>
      </c>
      <c r="D260" s="254" t="s">
        <v>165</v>
      </c>
      <c r="E260" s="255">
        <v>2.15</v>
      </c>
      <c r="F260" s="255">
        <v>0.7</v>
      </c>
      <c r="G260" s="256"/>
      <c r="H260" s="193">
        <f>F260*E260*2*4</f>
        <v>12.04</v>
      </c>
      <c r="I260" s="185" t="s">
        <v>366</v>
      </c>
      <c r="J260" s="151"/>
      <c r="K260" s="151"/>
      <c r="L260" s="1"/>
      <c r="N260" s="167"/>
      <c r="O260" s="162"/>
      <c r="P260" s="162"/>
    </row>
    <row r="261" spans="1:16" ht="20.100000000000001" customHeight="1">
      <c r="A261" s="228"/>
      <c r="B261" s="39"/>
      <c r="C261" s="170" t="s">
        <v>194</v>
      </c>
      <c r="D261" s="254">
        <v>4</v>
      </c>
      <c r="E261" s="255">
        <v>2.15</v>
      </c>
      <c r="F261" s="255">
        <v>0.7</v>
      </c>
      <c r="G261" s="253"/>
      <c r="H261" s="193">
        <f>F261*E261*D261</f>
        <v>6.02</v>
      </c>
      <c r="I261" s="185" t="s">
        <v>366</v>
      </c>
      <c r="J261" s="151"/>
      <c r="K261" s="151"/>
      <c r="L261" s="1"/>
      <c r="N261" s="167"/>
      <c r="O261" s="162"/>
      <c r="P261" s="162"/>
    </row>
    <row r="262" spans="1:16" ht="20.100000000000001" customHeight="1">
      <c r="A262" s="228"/>
      <c r="B262" s="39"/>
      <c r="C262" s="170" t="s">
        <v>200</v>
      </c>
      <c r="D262" s="254">
        <v>2</v>
      </c>
      <c r="E262" s="255">
        <v>22.85</v>
      </c>
      <c r="F262" s="255">
        <v>1</v>
      </c>
      <c r="G262" s="253"/>
      <c r="H262" s="193">
        <f>F262*E262*D262</f>
        <v>45.7</v>
      </c>
      <c r="I262" s="185" t="s">
        <v>366</v>
      </c>
      <c r="J262" s="151"/>
      <c r="K262" s="151"/>
      <c r="L262" s="1"/>
      <c r="N262" s="167"/>
      <c r="O262" s="162"/>
      <c r="P262" s="162"/>
    </row>
    <row r="263" spans="1:16" ht="20.100000000000001" customHeight="1">
      <c r="A263" s="228"/>
      <c r="B263" s="39"/>
      <c r="C263" s="170" t="s">
        <v>201</v>
      </c>
      <c r="D263" s="254">
        <v>2</v>
      </c>
      <c r="E263" s="255">
        <v>22.85</v>
      </c>
      <c r="F263" s="255">
        <v>0.3</v>
      </c>
      <c r="G263" s="253"/>
      <c r="H263" s="193">
        <f>F263*E263*D263</f>
        <v>13.71</v>
      </c>
      <c r="I263" s="185" t="s">
        <v>366</v>
      </c>
      <c r="J263" s="151"/>
      <c r="K263" s="151"/>
      <c r="L263" s="1"/>
      <c r="N263" s="167"/>
      <c r="O263" s="162"/>
      <c r="P263" s="162"/>
    </row>
    <row r="264" spans="1:16" ht="20.100000000000001" customHeight="1">
      <c r="A264" s="228"/>
      <c r="B264" s="39"/>
      <c r="C264" s="170" t="s">
        <v>202</v>
      </c>
      <c r="D264" s="254">
        <v>2</v>
      </c>
      <c r="E264" s="255">
        <v>6.25</v>
      </c>
      <c r="F264" s="255">
        <v>1</v>
      </c>
      <c r="G264" s="253"/>
      <c r="H264" s="193">
        <f>F264*E264*D264</f>
        <v>12.5</v>
      </c>
      <c r="I264" s="185" t="s">
        <v>366</v>
      </c>
      <c r="J264" s="151"/>
      <c r="K264" s="151"/>
      <c r="L264" s="1"/>
      <c r="N264" s="167"/>
      <c r="O264" s="162"/>
      <c r="P264" s="162"/>
    </row>
    <row r="265" spans="1:16" ht="20.100000000000001" customHeight="1">
      <c r="A265" s="228"/>
      <c r="B265" s="39"/>
      <c r="C265" s="170" t="s">
        <v>203</v>
      </c>
      <c r="D265" s="254">
        <v>2</v>
      </c>
      <c r="E265" s="255">
        <v>6.25</v>
      </c>
      <c r="F265" s="255">
        <v>0.3</v>
      </c>
      <c r="G265" s="253"/>
      <c r="H265" s="193">
        <f>F265*E265*D265</f>
        <v>3.75</v>
      </c>
      <c r="I265" s="185" t="s">
        <v>366</v>
      </c>
      <c r="J265" s="151"/>
      <c r="K265" s="151"/>
      <c r="L265" s="1"/>
      <c r="N265" s="167"/>
      <c r="O265" s="162"/>
      <c r="P265" s="162"/>
    </row>
    <row r="266" spans="1:16" ht="20.100000000000001" customHeight="1">
      <c r="A266" s="228"/>
      <c r="B266" s="39"/>
      <c r="C266" s="248" t="s">
        <v>167</v>
      </c>
      <c r="D266" s="34"/>
      <c r="E266" s="35"/>
      <c r="F266" s="205"/>
      <c r="G266" s="206"/>
      <c r="H266" s="189"/>
      <c r="I266" s="229"/>
      <c r="J266" s="191"/>
      <c r="K266" s="191"/>
      <c r="L266" s="1"/>
      <c r="N266" s="167"/>
      <c r="O266" s="162"/>
      <c r="P266" s="162"/>
    </row>
    <row r="267" spans="1:16" ht="20.100000000000001" customHeight="1">
      <c r="A267" s="228"/>
      <c r="B267" s="39"/>
      <c r="C267" s="170" t="s">
        <v>149</v>
      </c>
      <c r="D267" s="34"/>
      <c r="E267" s="35"/>
      <c r="F267" s="205"/>
      <c r="G267" s="206"/>
      <c r="H267" s="189"/>
      <c r="I267" s="229"/>
      <c r="J267" s="191"/>
      <c r="K267" s="191"/>
      <c r="L267" s="1"/>
      <c r="N267" s="167"/>
      <c r="O267" s="162"/>
      <c r="P267" s="162"/>
    </row>
    <row r="268" spans="1:16" ht="20.100000000000001" customHeight="1">
      <c r="A268" s="228"/>
      <c r="B268" s="39"/>
      <c r="C268" s="170" t="s">
        <v>171</v>
      </c>
      <c r="D268" s="34">
        <v>-12</v>
      </c>
      <c r="E268" s="35">
        <v>1.5</v>
      </c>
      <c r="F268" s="205">
        <v>1.2</v>
      </c>
      <c r="G268" s="206"/>
      <c r="H268" s="193">
        <f>F268*E268*D268</f>
        <v>-21.599999999999998</v>
      </c>
      <c r="I268" s="185" t="s">
        <v>366</v>
      </c>
      <c r="J268" s="151"/>
      <c r="K268" s="151"/>
      <c r="L268" s="1"/>
      <c r="N268" s="167"/>
      <c r="O268" s="162"/>
      <c r="P268" s="162"/>
    </row>
    <row r="269" spans="1:16" ht="20.100000000000001" customHeight="1">
      <c r="A269" s="228"/>
      <c r="B269" s="39"/>
      <c r="C269" s="170" t="s">
        <v>172</v>
      </c>
      <c r="D269" s="34"/>
      <c r="E269" s="35"/>
      <c r="F269" s="205"/>
      <c r="G269" s="206"/>
      <c r="H269" s="189"/>
      <c r="I269" s="229"/>
      <c r="J269" s="191"/>
      <c r="K269" s="191"/>
      <c r="L269" s="1"/>
      <c r="N269" s="167"/>
      <c r="O269" s="162"/>
      <c r="P269" s="162"/>
    </row>
    <row r="270" spans="1:16" ht="20.100000000000001" customHeight="1">
      <c r="A270" s="228"/>
      <c r="B270" s="39"/>
      <c r="C270" s="170" t="s">
        <v>173</v>
      </c>
      <c r="D270" s="34">
        <v>-12</v>
      </c>
      <c r="E270" s="35">
        <v>1</v>
      </c>
      <c r="F270" s="205">
        <v>1.2</v>
      </c>
      <c r="G270" s="206"/>
      <c r="H270" s="193">
        <f>F270*E270*D270</f>
        <v>-14.399999999999999</v>
      </c>
      <c r="I270" s="185" t="s">
        <v>366</v>
      </c>
      <c r="J270" s="151"/>
      <c r="K270" s="151"/>
      <c r="L270" s="1"/>
      <c r="N270" s="167"/>
      <c r="O270" s="162"/>
      <c r="P270" s="162"/>
    </row>
    <row r="271" spans="1:16" ht="20.100000000000001" customHeight="1">
      <c r="A271" s="228"/>
      <c r="B271" s="39"/>
      <c r="C271" s="170" t="s">
        <v>174</v>
      </c>
      <c r="D271" s="34">
        <v>-12</v>
      </c>
      <c r="E271" s="35">
        <v>0.6</v>
      </c>
      <c r="F271" s="205">
        <v>1.2</v>
      </c>
      <c r="G271" s="206"/>
      <c r="H271" s="193">
        <f>F271*E271*D271</f>
        <v>-8.64</v>
      </c>
      <c r="I271" s="185" t="s">
        <v>366</v>
      </c>
      <c r="J271" s="151"/>
      <c r="K271" s="151"/>
      <c r="L271" s="1"/>
      <c r="N271" s="167"/>
      <c r="O271" s="162"/>
      <c r="P271" s="162"/>
    </row>
    <row r="272" spans="1:16" ht="20.100000000000001" customHeight="1">
      <c r="A272" s="228"/>
      <c r="B272" s="39"/>
      <c r="C272" s="170" t="s">
        <v>204</v>
      </c>
      <c r="D272" s="34"/>
      <c r="E272" s="35"/>
      <c r="F272" s="205"/>
      <c r="G272" s="206"/>
      <c r="H272" s="189"/>
      <c r="I272" s="229"/>
      <c r="J272" s="191"/>
      <c r="K272" s="191"/>
      <c r="L272" s="1"/>
      <c r="N272" s="167"/>
      <c r="O272" s="162"/>
      <c r="P272" s="162"/>
    </row>
    <row r="273" spans="1:16" ht="20.100000000000001" customHeight="1">
      <c r="A273" s="228"/>
      <c r="B273" s="39"/>
      <c r="C273" s="170" t="s">
        <v>175</v>
      </c>
      <c r="D273" s="34">
        <f>-8*2</f>
        <v>-16</v>
      </c>
      <c r="E273" s="35">
        <v>0.6</v>
      </c>
      <c r="F273" s="205">
        <v>0.9</v>
      </c>
      <c r="G273" s="206"/>
      <c r="H273" s="193">
        <f>F273*E273*D273</f>
        <v>-8.64</v>
      </c>
      <c r="I273" s="185" t="s">
        <v>366</v>
      </c>
      <c r="J273" s="151"/>
      <c r="K273" s="151"/>
      <c r="L273" s="1"/>
      <c r="N273" s="167"/>
      <c r="O273" s="162"/>
      <c r="P273" s="162"/>
    </row>
    <row r="274" spans="1:16" ht="20.100000000000001" customHeight="1">
      <c r="A274" s="228"/>
      <c r="B274" s="39"/>
      <c r="C274" s="170" t="s">
        <v>205</v>
      </c>
      <c r="D274" s="34"/>
      <c r="E274" s="35"/>
      <c r="F274" s="205"/>
      <c r="G274" s="206"/>
      <c r="H274" s="189"/>
      <c r="I274" s="229"/>
      <c r="J274" s="191"/>
      <c r="K274" s="191"/>
      <c r="L274" s="1"/>
      <c r="N274" s="167"/>
      <c r="O274" s="162"/>
      <c r="P274" s="162"/>
    </row>
    <row r="275" spans="1:16" ht="20.100000000000001" customHeight="1">
      <c r="A275" s="228"/>
      <c r="B275" s="39"/>
      <c r="C275" s="170" t="s">
        <v>206</v>
      </c>
      <c r="D275" s="34">
        <v>-1</v>
      </c>
      <c r="E275" s="35">
        <v>1</v>
      </c>
      <c r="F275" s="205">
        <v>2.1</v>
      </c>
      <c r="G275" s="206"/>
      <c r="H275" s="193">
        <f>F275*E275*D275</f>
        <v>-2.1</v>
      </c>
      <c r="I275" s="185" t="s">
        <v>366</v>
      </c>
      <c r="J275" s="151"/>
      <c r="K275" s="151"/>
      <c r="L275" s="1"/>
      <c r="N275" s="167"/>
      <c r="O275" s="162"/>
      <c r="P275" s="162"/>
    </row>
    <row r="276" spans="1:16" ht="20.100000000000001" customHeight="1">
      <c r="A276" s="228"/>
      <c r="B276" s="39"/>
      <c r="C276" s="170" t="s">
        <v>174</v>
      </c>
      <c r="D276" s="34">
        <v>-1</v>
      </c>
      <c r="E276" s="35">
        <v>0.6</v>
      </c>
      <c r="F276" s="205">
        <v>1.2</v>
      </c>
      <c r="G276" s="206"/>
      <c r="H276" s="193">
        <f>F276*E276*D276</f>
        <v>-0.72</v>
      </c>
      <c r="I276" s="185" t="s">
        <v>366</v>
      </c>
      <c r="J276" s="151"/>
      <c r="K276" s="151"/>
      <c r="L276" s="1"/>
      <c r="N276" s="167"/>
      <c r="O276" s="162"/>
      <c r="P276" s="162"/>
    </row>
    <row r="277" spans="1:16" ht="20.100000000000001" customHeight="1">
      <c r="A277" s="228"/>
      <c r="B277" s="39"/>
      <c r="C277" s="170"/>
      <c r="D277" s="257"/>
      <c r="E277" s="257"/>
      <c r="F277" s="863" t="s">
        <v>43</v>
      </c>
      <c r="G277" s="860"/>
      <c r="H277" s="189">
        <f>SUM(H232:H276)</f>
        <v>857.12399999999991</v>
      </c>
      <c r="I277" s="229" t="s">
        <v>368</v>
      </c>
      <c r="J277" s="191"/>
      <c r="K277" s="191"/>
      <c r="L277" s="1"/>
      <c r="N277" s="167"/>
      <c r="O277" s="162"/>
      <c r="P277" s="162"/>
    </row>
    <row r="278" spans="1:16" ht="20.100000000000001" customHeight="1">
      <c r="A278" s="228"/>
      <c r="B278" s="39"/>
      <c r="C278" s="158"/>
      <c r="D278" s="851" t="s">
        <v>300</v>
      </c>
      <c r="E278" s="851"/>
      <c r="F278" s="851"/>
      <c r="G278" s="362" t="s">
        <v>10</v>
      </c>
      <c r="H278" s="237">
        <f>ROUNDUP(H277,0)</f>
        <v>858</v>
      </c>
      <c r="I278" s="237" t="s">
        <v>374</v>
      </c>
      <c r="J278" s="191"/>
      <c r="K278" s="191"/>
      <c r="L278" s="1"/>
      <c r="N278" s="167"/>
      <c r="O278" s="162"/>
      <c r="P278" s="162"/>
    </row>
    <row r="279" spans="1:16" ht="20.100000000000001" customHeight="1">
      <c r="A279" s="228"/>
      <c r="B279" s="39"/>
      <c r="C279" s="158"/>
      <c r="D279" s="851" t="s">
        <v>306</v>
      </c>
      <c r="E279" s="851"/>
      <c r="F279" s="851"/>
      <c r="G279" s="851"/>
      <c r="H279" s="237">
        <f>H229+H278</f>
        <v>1881</v>
      </c>
      <c r="I279" s="237" t="s">
        <v>368</v>
      </c>
      <c r="J279" s="191" t="s">
        <v>301</v>
      </c>
      <c r="K279" s="191"/>
      <c r="L279" s="1"/>
      <c r="N279" s="167"/>
      <c r="O279" s="162"/>
      <c r="P279" s="162"/>
    </row>
    <row r="280" spans="1:16" ht="20.100000000000001" customHeight="1">
      <c r="A280" s="228"/>
      <c r="B280" s="39"/>
      <c r="C280" s="158"/>
      <c r="D280" s="258"/>
      <c r="E280" s="258"/>
      <c r="F280" s="258"/>
      <c r="G280" s="236"/>
      <c r="H280" s="189"/>
      <c r="I280" s="229"/>
      <c r="J280" s="191"/>
      <c r="K280" s="191"/>
      <c r="L280" s="1"/>
      <c r="N280" s="167"/>
      <c r="O280" s="162"/>
      <c r="P280" s="162"/>
    </row>
    <row r="281" spans="1:16" ht="20.100000000000001" customHeight="1">
      <c r="A281" s="228"/>
      <c r="B281" s="39"/>
      <c r="C281" s="158"/>
      <c r="D281" s="859" t="s">
        <v>302</v>
      </c>
      <c r="E281" s="859"/>
      <c r="F281" s="859"/>
      <c r="G281" s="860"/>
      <c r="H281" s="189">
        <f>H102</f>
        <v>715</v>
      </c>
      <c r="I281" s="234" t="s">
        <v>368</v>
      </c>
      <c r="J281" s="191"/>
      <c r="K281" s="191"/>
      <c r="L281" s="1"/>
      <c r="N281" s="167"/>
      <c r="O281" s="162"/>
      <c r="P281" s="162"/>
    </row>
    <row r="282" spans="1:16" ht="20.100000000000001" customHeight="1">
      <c r="A282" s="228"/>
      <c r="B282" s="39"/>
      <c r="C282" s="158"/>
      <c r="D282" s="859" t="s">
        <v>303</v>
      </c>
      <c r="E282" s="859"/>
      <c r="F282" s="859"/>
      <c r="G282" s="860"/>
      <c r="H282" s="189">
        <f>H183</f>
        <v>2268</v>
      </c>
      <c r="I282" s="234" t="s">
        <v>368</v>
      </c>
      <c r="J282" s="191"/>
      <c r="K282" s="191"/>
      <c r="L282" s="1"/>
      <c r="N282" s="167"/>
      <c r="O282" s="162"/>
      <c r="P282" s="162"/>
    </row>
    <row r="283" spans="1:16" ht="20.100000000000001" customHeight="1">
      <c r="A283" s="228"/>
      <c r="B283" s="39"/>
      <c r="C283" s="158"/>
      <c r="D283" s="859" t="s">
        <v>304</v>
      </c>
      <c r="E283" s="859"/>
      <c r="F283" s="859"/>
      <c r="G283" s="860"/>
      <c r="H283" s="189">
        <f>H279</f>
        <v>1881</v>
      </c>
      <c r="I283" s="234" t="s">
        <v>368</v>
      </c>
      <c r="J283" s="191"/>
      <c r="K283" s="191"/>
      <c r="L283" s="1"/>
      <c r="N283" s="167"/>
      <c r="O283" s="162"/>
      <c r="P283" s="162"/>
    </row>
    <row r="284" spans="1:16" ht="20.100000000000001" customHeight="1">
      <c r="A284" s="228"/>
      <c r="B284" s="39"/>
      <c r="C284" s="158"/>
      <c r="D284" s="258"/>
      <c r="E284" s="258"/>
      <c r="F284" s="258"/>
      <c r="G284" s="236"/>
      <c r="H284" s="189"/>
      <c r="I284" s="229"/>
      <c r="J284" s="191"/>
      <c r="K284" s="191"/>
      <c r="L284" s="1"/>
      <c r="N284" s="167"/>
      <c r="O284" s="162"/>
      <c r="P284" s="162"/>
    </row>
    <row r="285" spans="1:16" ht="20.100000000000001" customHeight="1">
      <c r="A285" s="228"/>
      <c r="B285" s="39"/>
      <c r="C285" s="852" t="s">
        <v>305</v>
      </c>
      <c r="D285" s="853"/>
      <c r="E285" s="853"/>
      <c r="F285" s="854"/>
      <c r="G285" s="855"/>
      <c r="H285" s="189">
        <f>H281+H282+H283</f>
        <v>4864</v>
      </c>
      <c r="I285" s="234" t="s">
        <v>368</v>
      </c>
      <c r="J285" s="191" t="s">
        <v>395</v>
      </c>
      <c r="K285" s="191"/>
      <c r="L285" s="1"/>
      <c r="N285" s="167"/>
      <c r="O285" s="162"/>
      <c r="P285" s="162"/>
    </row>
    <row r="286" spans="1:16" ht="20.100000000000001" customHeight="1">
      <c r="A286" s="228"/>
      <c r="B286" s="39"/>
      <c r="C286" s="882" t="s">
        <v>280</v>
      </c>
      <c r="D286" s="883"/>
      <c r="E286" s="883"/>
      <c r="F286" s="883"/>
      <c r="G286" s="884"/>
      <c r="H286" s="189">
        <f>H285*40%</f>
        <v>1945.6000000000001</v>
      </c>
      <c r="I286" s="234" t="s">
        <v>368</v>
      </c>
      <c r="J286" s="191"/>
      <c r="K286" s="191"/>
      <c r="L286" s="1"/>
      <c r="N286" s="167"/>
      <c r="O286" s="162"/>
      <c r="P286" s="162"/>
    </row>
    <row r="287" spans="1:16" ht="20.100000000000001" customHeight="1">
      <c r="A287" s="279"/>
      <c r="B287" s="103"/>
      <c r="C287" s="847" t="s">
        <v>10</v>
      </c>
      <c r="D287" s="848"/>
      <c r="E287" s="848"/>
      <c r="F287" s="848"/>
      <c r="G287" s="849"/>
      <c r="H287" s="233">
        <f>ROUNDUP(H286,-1)</f>
        <v>1950</v>
      </c>
      <c r="I287" s="234" t="s">
        <v>368</v>
      </c>
      <c r="J287" s="359">
        <v>50</v>
      </c>
      <c r="K287" s="351">
        <f>J287*H287</f>
        <v>97500</v>
      </c>
      <c r="L287" s="1"/>
      <c r="N287" s="167"/>
      <c r="O287" s="162"/>
      <c r="P287" s="162"/>
    </row>
    <row r="288" spans="1:16" ht="108.75" customHeight="1">
      <c r="A288" s="231">
        <v>6</v>
      </c>
      <c r="B288" s="39" t="s">
        <v>145</v>
      </c>
      <c r="C288" s="277" t="s">
        <v>379</v>
      </c>
      <c r="D288" s="866"/>
      <c r="E288" s="921"/>
      <c r="F288" s="921"/>
      <c r="G288" s="921"/>
      <c r="H288" s="229"/>
      <c r="I288" s="229"/>
      <c r="J288" s="276"/>
      <c r="K288" s="276"/>
      <c r="L288" s="1"/>
      <c r="N288" s="167"/>
      <c r="O288" s="162"/>
      <c r="P288" s="162"/>
    </row>
    <row r="289" spans="1:16" ht="21" customHeight="1">
      <c r="A289" s="228"/>
      <c r="B289" s="39"/>
      <c r="C289" s="31" t="s">
        <v>396</v>
      </c>
      <c r="D289" s="866" t="s">
        <v>423</v>
      </c>
      <c r="E289" s="867"/>
      <c r="F289" s="867"/>
      <c r="G289" s="868"/>
      <c r="L289" s="1"/>
      <c r="N289" s="167"/>
      <c r="O289" s="162"/>
      <c r="P289" s="162"/>
    </row>
    <row r="290" spans="1:16" ht="20.100000000000001" customHeight="1">
      <c r="A290" s="228"/>
      <c r="B290" s="39"/>
      <c r="C290" s="30" t="s">
        <v>317</v>
      </c>
      <c r="D290" s="866"/>
      <c r="E290" s="867"/>
      <c r="F290" s="867"/>
      <c r="G290" s="868"/>
      <c r="H290" s="189">
        <f>H102*40/100</f>
        <v>286</v>
      </c>
      <c r="I290" s="229" t="s">
        <v>367</v>
      </c>
      <c r="J290" s="191">
        <v>170</v>
      </c>
      <c r="K290" s="151">
        <f>J290*H290</f>
        <v>48620</v>
      </c>
      <c r="L290" s="64"/>
      <c r="N290" s="167"/>
      <c r="O290" s="162"/>
      <c r="P290" s="162"/>
    </row>
    <row r="291" spans="1:16" ht="20.100000000000001" customHeight="1">
      <c r="A291" s="228"/>
      <c r="B291" s="39"/>
      <c r="C291" s="30"/>
      <c r="D291" s="34"/>
      <c r="E291" s="36"/>
      <c r="F291" s="36"/>
      <c r="G291" s="225"/>
      <c r="H291" s="189"/>
      <c r="I291" s="229"/>
      <c r="J291" s="247"/>
      <c r="K291" s="191"/>
      <c r="L291" s="64"/>
      <c r="N291" s="167"/>
      <c r="O291" s="162"/>
      <c r="P291" s="162"/>
    </row>
    <row r="292" spans="1:16" ht="20.100000000000001" customHeight="1">
      <c r="A292" s="228"/>
      <c r="B292" s="39"/>
      <c r="C292" s="30" t="s">
        <v>397</v>
      </c>
      <c r="D292" s="866" t="s">
        <v>320</v>
      </c>
      <c r="E292" s="867"/>
      <c r="F292" s="867"/>
      <c r="G292" s="868"/>
      <c r="L292" s="64"/>
      <c r="N292" s="167"/>
      <c r="O292" s="162"/>
      <c r="P292" s="162"/>
    </row>
    <row r="293" spans="1:16" ht="20.100000000000001" customHeight="1">
      <c r="A293" s="228"/>
      <c r="B293" s="39"/>
      <c r="C293" s="30" t="s">
        <v>317</v>
      </c>
      <c r="D293" s="866"/>
      <c r="E293" s="867"/>
      <c r="F293" s="867"/>
      <c r="G293" s="868"/>
      <c r="H293" s="189">
        <f>H282*40/100</f>
        <v>907.2</v>
      </c>
      <c r="I293" s="229" t="s">
        <v>367</v>
      </c>
      <c r="J293" s="191">
        <v>225</v>
      </c>
      <c r="K293" s="151">
        <f>J293*H293</f>
        <v>204120</v>
      </c>
      <c r="L293" s="64"/>
      <c r="N293" s="167"/>
      <c r="O293" s="162"/>
      <c r="P293" s="162"/>
    </row>
    <row r="294" spans="1:16" ht="20.100000000000001" customHeight="1">
      <c r="A294" s="228"/>
      <c r="B294" s="39"/>
      <c r="C294" s="30"/>
      <c r="D294" s="866"/>
      <c r="E294" s="867"/>
      <c r="F294" s="867"/>
      <c r="G294" s="868"/>
      <c r="H294" s="229"/>
      <c r="I294" s="245"/>
      <c r="J294" s="247"/>
      <c r="K294" s="191"/>
      <c r="L294" s="64"/>
      <c r="N294" s="167"/>
      <c r="O294" s="162"/>
      <c r="P294" s="162"/>
    </row>
    <row r="295" spans="1:16" ht="17.25" customHeight="1">
      <c r="A295" s="279"/>
      <c r="B295" s="103"/>
      <c r="C295" s="280" t="s">
        <v>321</v>
      </c>
      <c r="D295" s="923"/>
      <c r="E295" s="924"/>
      <c r="F295" s="924"/>
      <c r="G295" s="925"/>
      <c r="H295" s="233"/>
      <c r="I295" s="234"/>
      <c r="J295" s="281"/>
      <c r="K295" s="282"/>
      <c r="L295" s="1"/>
      <c r="N295" s="167"/>
      <c r="O295" s="162"/>
      <c r="P295" s="162"/>
    </row>
    <row r="296" spans="1:16" ht="20.100000000000001" customHeight="1">
      <c r="A296" s="228"/>
      <c r="B296" s="39"/>
      <c r="C296" s="222"/>
      <c r="D296" s="222"/>
      <c r="E296" s="222"/>
      <c r="F296" s="222"/>
      <c r="G296" s="248"/>
      <c r="H296" s="189"/>
      <c r="I296" s="229"/>
      <c r="J296" s="191"/>
      <c r="K296" s="151"/>
      <c r="L296" s="1"/>
      <c r="N296" s="167"/>
      <c r="O296" s="162"/>
      <c r="P296" s="162"/>
    </row>
    <row r="297" spans="1:16" ht="90.75" customHeight="1">
      <c r="A297" s="231">
        <v>7</v>
      </c>
      <c r="B297" s="915" t="s">
        <v>270</v>
      </c>
      <c r="C297" s="157" t="s">
        <v>271</v>
      </c>
      <c r="D297" s="194"/>
      <c r="E297" s="194"/>
      <c r="F297" s="194"/>
      <c r="G297" s="194"/>
      <c r="H297" s="195"/>
      <c r="I297" s="229"/>
      <c r="J297" s="191"/>
      <c r="K297" s="151"/>
      <c r="L297" s="1"/>
      <c r="N297" s="167"/>
      <c r="O297" s="162"/>
      <c r="P297" s="162"/>
    </row>
    <row r="298" spans="1:16" ht="15.75">
      <c r="A298" s="266"/>
      <c r="B298" s="915"/>
      <c r="C298" s="157" t="s">
        <v>277</v>
      </c>
      <c r="D298" s="194"/>
      <c r="E298" s="357"/>
      <c r="F298" s="267"/>
      <c r="G298" s="357"/>
      <c r="H298" s="268"/>
      <c r="I298" s="229"/>
      <c r="J298" s="191"/>
      <c r="K298" s="151"/>
      <c r="L298" s="1"/>
      <c r="N298" s="167"/>
      <c r="O298" s="162"/>
      <c r="P298" s="162"/>
    </row>
    <row r="299" spans="1:16" ht="15.75">
      <c r="A299" s="266"/>
      <c r="B299" s="915"/>
      <c r="C299" s="175" t="s">
        <v>272</v>
      </c>
      <c r="D299" s="194"/>
      <c r="E299" s="357"/>
      <c r="F299" s="267"/>
      <c r="G299" s="357"/>
      <c r="H299" s="268"/>
      <c r="I299" s="229"/>
      <c r="J299" s="191"/>
      <c r="K299" s="151"/>
      <c r="L299" s="1"/>
      <c r="N299" s="167"/>
      <c r="O299" s="162"/>
      <c r="P299" s="162"/>
    </row>
    <row r="300" spans="1:16" ht="20.100000000000001" customHeight="1">
      <c r="A300" s="266"/>
      <c r="B300" s="915"/>
      <c r="C300" s="269" t="s">
        <v>309</v>
      </c>
      <c r="D300" s="192">
        <v>8</v>
      </c>
      <c r="E300" s="35">
        <v>2.125</v>
      </c>
      <c r="F300" s="36">
        <v>0.7</v>
      </c>
      <c r="G300" s="35"/>
      <c r="H300" s="219">
        <f>D300*E300*F300</f>
        <v>11.899999999999999</v>
      </c>
      <c r="I300" s="185" t="s">
        <v>365</v>
      </c>
      <c r="J300" s="191"/>
      <c r="K300" s="151"/>
      <c r="L300" s="1"/>
      <c r="N300" s="167"/>
      <c r="O300" s="162"/>
      <c r="P300" s="162"/>
    </row>
    <row r="301" spans="1:16" ht="20.100000000000001" customHeight="1">
      <c r="A301" s="266"/>
      <c r="B301" s="915"/>
      <c r="C301" s="269" t="s">
        <v>310</v>
      </c>
      <c r="D301" s="192">
        <v>8</v>
      </c>
      <c r="E301" s="35">
        <v>1.1299999999999999</v>
      </c>
      <c r="F301" s="36">
        <v>0.7</v>
      </c>
      <c r="G301" s="35"/>
      <c r="H301" s="219">
        <f>D301*E301*F301</f>
        <v>6.3279999999999994</v>
      </c>
      <c r="I301" s="185" t="s">
        <v>365</v>
      </c>
      <c r="J301" s="191"/>
      <c r="K301" s="151"/>
      <c r="L301" s="1"/>
      <c r="N301" s="167"/>
      <c r="O301" s="162"/>
      <c r="P301" s="162"/>
    </row>
    <row r="302" spans="1:16" ht="20.100000000000001" customHeight="1">
      <c r="A302" s="266"/>
      <c r="B302" s="915"/>
      <c r="C302" s="269" t="s">
        <v>311</v>
      </c>
      <c r="D302" s="192">
        <v>16</v>
      </c>
      <c r="E302" s="35"/>
      <c r="F302" s="36">
        <v>0.7</v>
      </c>
      <c r="G302" s="35">
        <v>1</v>
      </c>
      <c r="H302" s="219">
        <f>G302*F302*D302</f>
        <v>11.2</v>
      </c>
      <c r="I302" s="185" t="s">
        <v>365</v>
      </c>
      <c r="J302" s="191"/>
      <c r="K302" s="151"/>
      <c r="L302" s="1"/>
      <c r="N302" s="167"/>
      <c r="O302" s="162"/>
      <c r="P302" s="162"/>
    </row>
    <row r="303" spans="1:16" ht="20.100000000000001" customHeight="1">
      <c r="A303" s="266"/>
      <c r="B303" s="915"/>
      <c r="C303" s="269" t="s">
        <v>312</v>
      </c>
      <c r="D303" s="192">
        <v>16</v>
      </c>
      <c r="E303" s="35"/>
      <c r="F303" s="35">
        <v>0.7</v>
      </c>
      <c r="G303" s="35">
        <v>0.7</v>
      </c>
      <c r="H303" s="219">
        <f>G303*F303*D303</f>
        <v>7.839999999999999</v>
      </c>
      <c r="I303" s="185" t="s">
        <v>365</v>
      </c>
      <c r="J303" s="191"/>
      <c r="K303" s="151"/>
      <c r="L303" s="1"/>
      <c r="N303" s="167"/>
      <c r="O303" s="162"/>
      <c r="P303" s="162"/>
    </row>
    <row r="304" spans="1:16" ht="20.100000000000001" customHeight="1">
      <c r="A304" s="266"/>
      <c r="B304" s="915"/>
      <c r="C304" s="269"/>
      <c r="D304" s="192"/>
      <c r="E304" s="35"/>
      <c r="F304" s="858" t="s">
        <v>43</v>
      </c>
      <c r="G304" s="858"/>
      <c r="H304" s="237">
        <f>H300+H301+H302+H303</f>
        <v>37.267999999999994</v>
      </c>
      <c r="I304" s="237" t="s">
        <v>375</v>
      </c>
      <c r="J304" s="191"/>
      <c r="K304" s="151"/>
      <c r="L304" s="1"/>
      <c r="N304" s="167"/>
      <c r="O304" s="162"/>
      <c r="P304" s="162"/>
    </row>
    <row r="305" spans="1:16" ht="20.100000000000001" customHeight="1">
      <c r="A305" s="266"/>
      <c r="B305" s="915"/>
      <c r="C305" s="269"/>
      <c r="D305" s="192"/>
      <c r="E305" s="35"/>
      <c r="F305" s="858" t="s">
        <v>10</v>
      </c>
      <c r="G305" s="858"/>
      <c r="H305" s="237">
        <f>ROUNDUP(H304,-1)</f>
        <v>40</v>
      </c>
      <c r="I305" s="237" t="s">
        <v>376</v>
      </c>
      <c r="J305" s="191"/>
      <c r="K305" s="151"/>
      <c r="L305" s="1"/>
      <c r="N305" s="167"/>
      <c r="O305" s="162"/>
      <c r="P305" s="162"/>
    </row>
    <row r="306" spans="1:16" ht="20.100000000000001" customHeight="1">
      <c r="A306" s="266"/>
      <c r="B306" s="915"/>
      <c r="C306" s="269"/>
      <c r="D306" s="192"/>
      <c r="E306" s="35"/>
      <c r="F306" s="36"/>
      <c r="G306" s="265"/>
      <c r="H306" s="219"/>
      <c r="I306" s="185"/>
      <c r="J306" s="191"/>
      <c r="K306" s="151"/>
      <c r="L306" s="1"/>
      <c r="N306" s="167"/>
      <c r="O306" s="162"/>
      <c r="P306" s="162"/>
    </row>
    <row r="307" spans="1:16" ht="20.100000000000001" customHeight="1">
      <c r="A307" s="266"/>
      <c r="B307" s="915"/>
      <c r="C307" s="176" t="s">
        <v>273</v>
      </c>
      <c r="D307" s="192"/>
      <c r="E307" s="35"/>
      <c r="F307" s="36"/>
      <c r="G307" s="35"/>
      <c r="H307" s="219"/>
      <c r="I307" s="185"/>
      <c r="J307" s="191"/>
      <c r="K307" s="151"/>
      <c r="L307" s="1"/>
      <c r="N307" s="167"/>
      <c r="O307" s="162"/>
      <c r="P307" s="162"/>
    </row>
    <row r="308" spans="1:16" ht="20.100000000000001" customHeight="1">
      <c r="A308" s="266"/>
      <c r="B308" s="915"/>
      <c r="C308" s="269" t="s">
        <v>313</v>
      </c>
      <c r="D308" s="192">
        <v>12</v>
      </c>
      <c r="E308" s="35">
        <v>3.05</v>
      </c>
      <c r="F308" s="36">
        <v>0.7</v>
      </c>
      <c r="G308" s="35"/>
      <c r="H308" s="219">
        <f>D308*E308*F308</f>
        <v>25.619999999999994</v>
      </c>
      <c r="I308" s="185" t="s">
        <v>365</v>
      </c>
      <c r="J308" s="191"/>
      <c r="K308" s="151"/>
      <c r="L308" s="1"/>
      <c r="N308" s="167"/>
      <c r="O308" s="162"/>
      <c r="P308" s="162"/>
    </row>
    <row r="309" spans="1:16" ht="20.100000000000001" customHeight="1">
      <c r="A309" s="266"/>
      <c r="B309" s="915"/>
      <c r="C309" s="269" t="s">
        <v>310</v>
      </c>
      <c r="D309" s="192">
        <v>12</v>
      </c>
      <c r="E309" s="35">
        <v>2</v>
      </c>
      <c r="F309" s="35">
        <v>0.7</v>
      </c>
      <c r="G309" s="265"/>
      <c r="H309" s="219">
        <f>D309*E309*F309</f>
        <v>16.799999999999997</v>
      </c>
      <c r="I309" s="185" t="s">
        <v>365</v>
      </c>
      <c r="J309" s="247"/>
      <c r="K309" s="201"/>
      <c r="L309" s="1"/>
      <c r="N309" s="167"/>
      <c r="O309" s="162"/>
      <c r="P309" s="162"/>
    </row>
    <row r="310" spans="1:16" ht="20.100000000000001" customHeight="1">
      <c r="A310" s="266"/>
      <c r="B310" s="915"/>
      <c r="C310" s="269" t="s">
        <v>311</v>
      </c>
      <c r="D310" s="192">
        <v>24</v>
      </c>
      <c r="E310" s="35"/>
      <c r="F310" s="36">
        <v>0.7</v>
      </c>
      <c r="G310" s="35">
        <v>1</v>
      </c>
      <c r="H310" s="219">
        <f>G310*F310*D310</f>
        <v>16.799999999999997</v>
      </c>
      <c r="I310" s="185" t="s">
        <v>365</v>
      </c>
      <c r="J310" s="247"/>
      <c r="K310" s="201"/>
      <c r="L310" s="1"/>
      <c r="N310" s="167"/>
      <c r="O310" s="162"/>
      <c r="P310" s="162"/>
    </row>
    <row r="311" spans="1:16" ht="20.100000000000001" customHeight="1">
      <c r="A311" s="266"/>
      <c r="B311" s="915"/>
      <c r="C311" s="269" t="s">
        <v>312</v>
      </c>
      <c r="D311" s="192">
        <v>24</v>
      </c>
      <c r="E311" s="202"/>
      <c r="F311" s="35">
        <v>0.7</v>
      </c>
      <c r="G311" s="35">
        <v>0.7</v>
      </c>
      <c r="H311" s="219">
        <f>G311*F311*D311</f>
        <v>11.759999999999998</v>
      </c>
      <c r="I311" s="185" t="s">
        <v>365</v>
      </c>
      <c r="J311" s="247"/>
      <c r="K311" s="201"/>
      <c r="L311" s="1"/>
      <c r="N311" s="167"/>
      <c r="O311" s="162"/>
      <c r="P311" s="162"/>
    </row>
    <row r="312" spans="1:16" ht="15.75">
      <c r="A312" s="266"/>
      <c r="B312" s="915"/>
      <c r="C312" s="366"/>
      <c r="D312" s="270"/>
      <c r="E312" s="270"/>
      <c r="F312" s="850" t="s">
        <v>43</v>
      </c>
      <c r="G312" s="916"/>
      <c r="H312" s="237">
        <f>H308+H309+H310+H311</f>
        <v>70.97999999999999</v>
      </c>
      <c r="I312" s="237" t="s">
        <v>375</v>
      </c>
      <c r="J312" s="271"/>
      <c r="K312" s="227"/>
      <c r="L312" s="1"/>
      <c r="N312" s="167"/>
      <c r="O312" s="162"/>
      <c r="P312" s="162"/>
    </row>
    <row r="313" spans="1:16" ht="15.75">
      <c r="A313" s="266"/>
      <c r="B313" s="39"/>
      <c r="C313" s="366"/>
      <c r="D313" s="270"/>
      <c r="E313" s="270"/>
      <c r="F313" s="858" t="s">
        <v>10</v>
      </c>
      <c r="G313" s="858"/>
      <c r="H313" s="237">
        <f>ROUNDUP(H312,-1)</f>
        <v>80</v>
      </c>
      <c r="I313" s="237" t="s">
        <v>377</v>
      </c>
      <c r="J313" s="271"/>
      <c r="K313" s="227"/>
      <c r="L313" s="1"/>
      <c r="N313" s="167"/>
      <c r="O313" s="162"/>
      <c r="P313" s="162"/>
    </row>
    <row r="314" spans="1:16" ht="15.75">
      <c r="A314" s="266"/>
      <c r="B314" s="39"/>
      <c r="C314" s="366"/>
      <c r="D314" s="270"/>
      <c r="E314" s="270"/>
      <c r="F314" s="272"/>
      <c r="G314" s="273"/>
      <c r="H314" s="193"/>
      <c r="I314" s="229"/>
      <c r="J314" s="271"/>
      <c r="K314" s="227"/>
      <c r="L314" s="1"/>
      <c r="N314" s="167"/>
      <c r="O314" s="162"/>
      <c r="P314" s="162"/>
    </row>
    <row r="315" spans="1:16" ht="20.100000000000001" customHeight="1">
      <c r="A315" s="266"/>
      <c r="B315" s="356"/>
      <c r="D315" s="872" t="s">
        <v>314</v>
      </c>
      <c r="E315" s="872"/>
      <c r="F315" s="872"/>
      <c r="G315" s="872"/>
      <c r="H315" s="237">
        <f>H305+H313</f>
        <v>120</v>
      </c>
      <c r="I315" s="237" t="s">
        <v>368</v>
      </c>
      <c r="J315" s="271"/>
      <c r="K315" s="227"/>
      <c r="L315" s="1"/>
      <c r="N315" s="167"/>
      <c r="O315" s="162"/>
      <c r="P315" s="162"/>
    </row>
    <row r="316" spans="1:16" ht="20.100000000000001" customHeight="1">
      <c r="A316" s="279"/>
      <c r="B316" s="103"/>
      <c r="C316" s="367"/>
      <c r="D316" s="368"/>
      <c r="E316" s="368"/>
      <c r="F316" s="864" t="s">
        <v>10</v>
      </c>
      <c r="G316" s="865"/>
      <c r="H316" s="237">
        <f>H315</f>
        <v>120</v>
      </c>
      <c r="I316" s="234" t="s">
        <v>368</v>
      </c>
      <c r="J316" s="359">
        <v>775</v>
      </c>
      <c r="K316" s="351">
        <f>J316*H316</f>
        <v>93000</v>
      </c>
      <c r="L316" s="1"/>
      <c r="N316" s="167"/>
      <c r="O316" s="162"/>
      <c r="P316" s="162"/>
    </row>
    <row r="317" spans="1:16" ht="20.100000000000001" customHeight="1">
      <c r="A317" s="228"/>
      <c r="B317" s="39"/>
      <c r="C317" s="248"/>
      <c r="D317" s="224"/>
      <c r="E317" s="224"/>
      <c r="F317" s="198"/>
      <c r="G317" s="225"/>
      <c r="H317" s="189"/>
      <c r="I317" s="229"/>
      <c r="J317" s="191"/>
      <c r="K317" s="151"/>
      <c r="L317" s="1"/>
      <c r="N317" s="167"/>
      <c r="O317" s="162"/>
      <c r="P317" s="162"/>
    </row>
    <row r="318" spans="1:16" ht="143.25" customHeight="1">
      <c r="A318" s="231">
        <v>8</v>
      </c>
      <c r="B318" s="39" t="s">
        <v>275</v>
      </c>
      <c r="C318" s="31" t="s">
        <v>274</v>
      </c>
      <c r="D318" s="248"/>
      <c r="E318" s="248"/>
      <c r="F318" s="248"/>
      <c r="G318" s="274"/>
      <c r="H318" s="189"/>
      <c r="I318" s="229"/>
      <c r="J318" s="191"/>
      <c r="K318" s="151"/>
      <c r="L318" s="1"/>
      <c r="N318" s="167"/>
      <c r="O318" s="162"/>
      <c r="P318" s="162"/>
    </row>
    <row r="319" spans="1:16" ht="20.100000000000001" customHeight="1">
      <c r="A319" s="266"/>
      <c r="B319" s="39"/>
      <c r="C319" s="159" t="s">
        <v>387</v>
      </c>
      <c r="D319" s="192">
        <v>8</v>
      </c>
      <c r="E319" s="35">
        <v>2.125</v>
      </c>
      <c r="F319" s="36">
        <v>0.7</v>
      </c>
      <c r="G319" s="35"/>
      <c r="H319" s="219">
        <f>D319*E319*F319</f>
        <v>11.899999999999999</v>
      </c>
      <c r="I319" s="185" t="s">
        <v>365</v>
      </c>
      <c r="J319" s="191"/>
      <c r="K319" s="151"/>
      <c r="L319" s="1"/>
      <c r="N319" s="167"/>
      <c r="O319" s="162"/>
      <c r="P319" s="162"/>
    </row>
    <row r="320" spans="1:16" ht="20.100000000000001" customHeight="1">
      <c r="A320" s="266"/>
      <c r="B320" s="39"/>
      <c r="C320" s="159" t="s">
        <v>414</v>
      </c>
      <c r="D320" s="192">
        <v>12</v>
      </c>
      <c r="E320" s="35">
        <v>3.05</v>
      </c>
      <c r="F320" s="36">
        <v>0.7</v>
      </c>
      <c r="G320" s="35"/>
      <c r="H320" s="219">
        <f>D320*E320*F320</f>
        <v>25.619999999999994</v>
      </c>
      <c r="I320" s="185" t="s">
        <v>365</v>
      </c>
      <c r="J320" s="191"/>
      <c r="K320" s="151"/>
      <c r="L320" s="1"/>
      <c r="N320" s="167"/>
      <c r="O320" s="162"/>
      <c r="P320" s="162"/>
    </row>
    <row r="321" spans="1:16" ht="20.100000000000001" customHeight="1">
      <c r="A321" s="266"/>
      <c r="B321" s="39"/>
      <c r="C321" s="160"/>
      <c r="D321" s="220"/>
      <c r="E321" s="220"/>
      <c r="F321" s="850" t="s">
        <v>43</v>
      </c>
      <c r="G321" s="917"/>
      <c r="H321" s="237">
        <f>H319+H320</f>
        <v>37.519999999999996</v>
      </c>
      <c r="I321" s="237" t="s">
        <v>375</v>
      </c>
      <c r="J321" s="370"/>
      <c r="K321" s="230"/>
      <c r="L321" s="1"/>
      <c r="N321" s="167"/>
      <c r="O321" s="162"/>
      <c r="P321" s="162"/>
    </row>
    <row r="322" spans="1:16" ht="20.100000000000001" customHeight="1">
      <c r="A322" s="334"/>
      <c r="B322" s="103"/>
      <c r="C322" s="369"/>
      <c r="D322" s="369"/>
      <c r="E322" s="369"/>
      <c r="F322" s="873" t="s">
        <v>10</v>
      </c>
      <c r="G322" s="874"/>
      <c r="H322" s="237">
        <f>ROUNDUP(H321,0)</f>
        <v>38</v>
      </c>
      <c r="I322" s="237" t="s">
        <v>368</v>
      </c>
      <c r="J322" s="359">
        <v>2460</v>
      </c>
      <c r="K322" s="351">
        <f>J322*H322</f>
        <v>93480</v>
      </c>
      <c r="L322" s="1"/>
      <c r="N322" s="167"/>
      <c r="O322" s="162"/>
      <c r="P322" s="162"/>
    </row>
    <row r="323" spans="1:16" ht="20.100000000000001" customHeight="1">
      <c r="A323" s="228"/>
      <c r="B323" s="39"/>
      <c r="C323" s="248"/>
      <c r="D323" s="248"/>
      <c r="E323" s="248"/>
      <c r="F323" s="248"/>
      <c r="G323" s="274"/>
      <c r="H323" s="189"/>
      <c r="I323" s="229"/>
      <c r="J323" s="191"/>
      <c r="K323" s="151"/>
      <c r="L323" s="1"/>
      <c r="N323" s="167"/>
      <c r="O323" s="162"/>
      <c r="P323" s="162"/>
    </row>
    <row r="324" spans="1:16" ht="105">
      <c r="A324" s="231">
        <v>9</v>
      </c>
      <c r="B324" s="39" t="s">
        <v>51</v>
      </c>
      <c r="C324" s="24" t="s">
        <v>419</v>
      </c>
      <c r="D324" s="34"/>
      <c r="E324" s="35"/>
      <c r="F324" s="36"/>
      <c r="G324" s="188"/>
      <c r="H324" s="189"/>
      <c r="I324" s="229"/>
      <c r="J324" s="191"/>
      <c r="K324" s="191"/>
      <c r="L324" s="1"/>
      <c r="N324" s="167"/>
      <c r="O324" s="162"/>
      <c r="P324" s="162"/>
    </row>
    <row r="325" spans="1:16" ht="18.75" customHeight="1">
      <c r="A325" s="426"/>
      <c r="B325" s="39"/>
      <c r="C325" s="437" t="s">
        <v>415</v>
      </c>
      <c r="D325" s="34"/>
      <c r="E325" s="35"/>
      <c r="F325" s="36"/>
      <c r="G325" s="188"/>
      <c r="H325" s="427"/>
      <c r="I325" s="229"/>
      <c r="J325" s="199"/>
      <c r="K325" s="191"/>
      <c r="L325" s="1"/>
      <c r="N325" s="429"/>
      <c r="O325" s="425"/>
      <c r="P325" s="425"/>
    </row>
    <row r="326" spans="1:16" ht="19.5" customHeight="1">
      <c r="A326" s="426"/>
      <c r="B326" s="39"/>
      <c r="C326" s="437" t="s">
        <v>418</v>
      </c>
      <c r="D326" s="34"/>
      <c r="E326" s="35"/>
      <c r="F326" s="36"/>
      <c r="G326" s="188"/>
      <c r="H326" s="427"/>
      <c r="I326" s="229"/>
      <c r="J326" s="199"/>
      <c r="K326" s="191"/>
      <c r="L326" s="1"/>
      <c r="N326" s="429"/>
      <c r="O326" s="425"/>
      <c r="P326" s="425"/>
    </row>
    <row r="327" spans="1:16" ht="20.100000000000001" customHeight="1">
      <c r="A327" s="228"/>
      <c r="B327" s="39"/>
      <c r="C327" s="906" t="s">
        <v>132</v>
      </c>
      <c r="D327" s="34">
        <v>2</v>
      </c>
      <c r="E327" s="35">
        <v>18</v>
      </c>
      <c r="F327" s="36">
        <v>1.5</v>
      </c>
      <c r="G327" s="35">
        <v>0.1</v>
      </c>
      <c r="H327" s="193">
        <f>D327*E327*F327*G327</f>
        <v>5.4</v>
      </c>
      <c r="I327" s="185" t="s">
        <v>365</v>
      </c>
      <c r="J327" s="227"/>
      <c r="K327" s="151"/>
      <c r="L327" s="1"/>
      <c r="N327" s="167"/>
      <c r="O327" s="162"/>
      <c r="P327" s="162"/>
    </row>
    <row r="328" spans="1:16" ht="20.100000000000001" customHeight="1">
      <c r="A328" s="228"/>
      <c r="B328" s="39"/>
      <c r="C328" s="906"/>
      <c r="D328" s="34">
        <v>2</v>
      </c>
      <c r="E328" s="35">
        <v>9.6999999999999993</v>
      </c>
      <c r="F328" s="36">
        <v>1.5</v>
      </c>
      <c r="G328" s="35">
        <v>0.1</v>
      </c>
      <c r="H328" s="193">
        <f>D328*E328*F328*G328</f>
        <v>2.91</v>
      </c>
      <c r="I328" s="185" t="s">
        <v>365</v>
      </c>
      <c r="J328" s="151"/>
      <c r="K328" s="151"/>
      <c r="L328" s="1"/>
      <c r="N328" s="167"/>
      <c r="O328" s="162"/>
      <c r="P328" s="162"/>
    </row>
    <row r="329" spans="1:16" ht="20.100000000000001" customHeight="1">
      <c r="A329" s="228"/>
      <c r="B329" s="39"/>
      <c r="C329" s="25" t="s">
        <v>129</v>
      </c>
      <c r="D329" s="34" t="s">
        <v>128</v>
      </c>
      <c r="E329" s="35">
        <v>21.5</v>
      </c>
      <c r="F329" s="36">
        <v>1.5</v>
      </c>
      <c r="G329" s="35">
        <v>0.1</v>
      </c>
      <c r="H329" s="193">
        <f>3*2*E329*F329*G329</f>
        <v>19.350000000000001</v>
      </c>
      <c r="I329" s="185" t="s">
        <v>365</v>
      </c>
      <c r="J329" s="151"/>
      <c r="K329" s="151"/>
      <c r="L329" s="1"/>
      <c r="N329" s="167"/>
      <c r="O329" s="162"/>
      <c r="P329" s="162"/>
    </row>
    <row r="330" spans="1:16" ht="20.100000000000001" customHeight="1">
      <c r="A330" s="228"/>
      <c r="B330" s="39"/>
      <c r="C330" s="25" t="s">
        <v>130</v>
      </c>
      <c r="D330" s="34" t="s">
        <v>128</v>
      </c>
      <c r="E330" s="35">
        <v>13.5</v>
      </c>
      <c r="F330" s="36">
        <v>1.5</v>
      </c>
      <c r="G330" s="35">
        <v>0.1</v>
      </c>
      <c r="H330" s="193">
        <f>3*2*E330*F330*G330</f>
        <v>12.15</v>
      </c>
      <c r="I330" s="185" t="s">
        <v>365</v>
      </c>
      <c r="J330" s="151"/>
      <c r="K330" s="151"/>
      <c r="L330" s="1"/>
      <c r="N330" s="167"/>
      <c r="O330" s="162"/>
      <c r="P330" s="162"/>
    </row>
    <row r="331" spans="1:16" ht="20.100000000000001" customHeight="1">
      <c r="A331" s="228"/>
      <c r="B331" s="39"/>
      <c r="C331" s="906" t="s">
        <v>133</v>
      </c>
      <c r="D331" s="34">
        <v>1</v>
      </c>
      <c r="E331" s="35">
        <v>5</v>
      </c>
      <c r="F331" s="36">
        <v>1.5</v>
      </c>
      <c r="G331" s="35">
        <v>0.1</v>
      </c>
      <c r="H331" s="193">
        <f>D331*E331*F331*G331</f>
        <v>0.75</v>
      </c>
      <c r="I331" s="185" t="s">
        <v>365</v>
      </c>
      <c r="J331" s="151"/>
      <c r="K331" s="151"/>
      <c r="L331" s="1"/>
      <c r="N331" s="167"/>
      <c r="O331" s="162"/>
      <c r="P331" s="162"/>
    </row>
    <row r="332" spans="1:16" ht="20.100000000000001" customHeight="1">
      <c r="A332" s="228"/>
      <c r="B332" s="39"/>
      <c r="C332" s="906"/>
      <c r="D332" s="34">
        <v>2</v>
      </c>
      <c r="E332" s="35">
        <v>3</v>
      </c>
      <c r="F332" s="36">
        <v>1.5</v>
      </c>
      <c r="G332" s="35">
        <v>0.1</v>
      </c>
      <c r="H332" s="210">
        <f>D332*E332*F332*G332</f>
        <v>0.9</v>
      </c>
      <c r="I332" s="275" t="s">
        <v>365</v>
      </c>
      <c r="J332" s="151"/>
      <c r="K332" s="151"/>
      <c r="L332" s="1"/>
      <c r="N332" s="167"/>
      <c r="O332" s="162"/>
      <c r="P332" s="162"/>
    </row>
    <row r="333" spans="1:16" ht="20.100000000000001" customHeight="1">
      <c r="A333" s="228"/>
      <c r="B333" s="39"/>
      <c r="C333" s="30"/>
      <c r="D333" s="34"/>
      <c r="E333" s="35"/>
      <c r="F333" s="850" t="s">
        <v>43</v>
      </c>
      <c r="G333" s="916"/>
      <c r="H333" s="189">
        <f>SUM(H327:H332)</f>
        <v>41.46</v>
      </c>
      <c r="I333" s="229" t="s">
        <v>375</v>
      </c>
      <c r="J333" s="191"/>
      <c r="K333" s="191"/>
      <c r="L333" s="1"/>
      <c r="N333" s="167"/>
      <c r="O333" s="162"/>
      <c r="P333" s="162"/>
    </row>
    <row r="334" spans="1:16" ht="20.100000000000001" customHeight="1">
      <c r="A334" s="228"/>
      <c r="B334" s="39"/>
      <c r="C334" s="919" t="s">
        <v>315</v>
      </c>
      <c r="D334" s="920"/>
      <c r="E334" s="920"/>
      <c r="F334" s="920"/>
      <c r="G334" s="855"/>
      <c r="H334" s="189">
        <f>H333*10%</f>
        <v>4.1459999999999999</v>
      </c>
      <c r="I334" s="229" t="s">
        <v>375</v>
      </c>
      <c r="J334" s="276"/>
      <c r="K334" s="191"/>
      <c r="L334" s="1"/>
      <c r="N334" s="167"/>
      <c r="O334" s="162"/>
      <c r="P334" s="162"/>
    </row>
    <row r="335" spans="1:16" ht="20.100000000000001" customHeight="1">
      <c r="A335" s="228"/>
      <c r="B335" s="39"/>
      <c r="C335" s="33"/>
      <c r="D335" s="34"/>
      <c r="E335" s="35"/>
      <c r="F335" s="858" t="s">
        <v>44</v>
      </c>
      <c r="G335" s="858"/>
      <c r="H335" s="189">
        <f>SUM(H333:H334)</f>
        <v>45.606000000000002</v>
      </c>
      <c r="I335" s="229" t="s">
        <v>375</v>
      </c>
      <c r="J335" s="191"/>
      <c r="K335" s="191"/>
      <c r="L335" s="1"/>
      <c r="N335" s="167"/>
      <c r="O335" s="162"/>
      <c r="P335" s="162"/>
    </row>
    <row r="336" spans="1:16" ht="20.100000000000001" customHeight="1">
      <c r="A336" s="279"/>
      <c r="B336" s="103"/>
      <c r="C336" s="371"/>
      <c r="D336" s="299"/>
      <c r="E336" s="295"/>
      <c r="F336" s="327"/>
      <c r="G336" s="363" t="s">
        <v>10</v>
      </c>
      <c r="H336" s="233">
        <f>ROUNDUP(H335,0)</f>
        <v>46</v>
      </c>
      <c r="I336" s="234" t="s">
        <v>375</v>
      </c>
      <c r="J336" s="282">
        <v>5000</v>
      </c>
      <c r="K336" s="351">
        <f>J336*H336</f>
        <v>230000</v>
      </c>
      <c r="L336" s="1"/>
      <c r="N336" s="167"/>
      <c r="O336" s="162"/>
      <c r="P336" s="162"/>
    </row>
    <row r="337" spans="1:16" ht="20.100000000000001" customHeight="1">
      <c r="A337" s="228"/>
      <c r="B337" s="39"/>
      <c r="C337" s="33"/>
      <c r="D337" s="34"/>
      <c r="E337" s="36"/>
      <c r="F337" s="36"/>
      <c r="G337" s="353"/>
      <c r="H337" s="189"/>
      <c r="I337" s="229"/>
      <c r="J337" s="276"/>
      <c r="K337" s="151"/>
      <c r="L337" s="1"/>
      <c r="N337" s="167"/>
      <c r="O337" s="162"/>
      <c r="P337" s="162"/>
    </row>
    <row r="338" spans="1:16" s="56" customFormat="1" ht="150">
      <c r="A338" s="432">
        <v>10</v>
      </c>
      <c r="B338" s="39" t="s">
        <v>11</v>
      </c>
      <c r="C338" s="24" t="s">
        <v>416</v>
      </c>
      <c r="D338" s="923" t="s">
        <v>424</v>
      </c>
      <c r="E338" s="951"/>
      <c r="F338" s="951"/>
      <c r="G338" s="952"/>
      <c r="H338" s="433">
        <f>40%*H283</f>
        <v>752.40000000000009</v>
      </c>
      <c r="I338" s="229" t="s">
        <v>367</v>
      </c>
      <c r="J338" s="276"/>
      <c r="K338" s="276"/>
      <c r="L338" s="1"/>
      <c r="N338" s="435"/>
      <c r="O338" s="438"/>
      <c r="P338" s="438"/>
    </row>
    <row r="339" spans="1:16" ht="19.5" customHeight="1">
      <c r="A339" s="426"/>
      <c r="B339" s="39"/>
      <c r="C339" s="24" t="s">
        <v>417</v>
      </c>
      <c r="D339" s="430"/>
      <c r="E339" s="428"/>
      <c r="F339" s="428"/>
      <c r="G339" s="291"/>
      <c r="H339" s="427"/>
      <c r="I339" s="229"/>
      <c r="J339" s="276"/>
      <c r="K339" s="276"/>
      <c r="L339" s="1"/>
      <c r="N339" s="429"/>
      <c r="O339" s="425"/>
      <c r="P339" s="425"/>
    </row>
    <row r="340" spans="1:16" ht="20.100000000000001" customHeight="1">
      <c r="A340" s="228"/>
      <c r="B340" s="39"/>
      <c r="C340" s="25" t="s">
        <v>265</v>
      </c>
      <c r="D340" s="34">
        <v>2</v>
      </c>
      <c r="E340" s="35">
        <v>21</v>
      </c>
      <c r="F340" s="36"/>
      <c r="G340" s="35">
        <v>0.9</v>
      </c>
      <c r="H340" s="193">
        <f>E340*G340*4*9</f>
        <v>680.40000000000009</v>
      </c>
      <c r="I340" s="185" t="s">
        <v>366</v>
      </c>
      <c r="J340" s="285"/>
      <c r="K340" s="285"/>
      <c r="L340" s="1"/>
      <c r="N340" s="167"/>
      <c r="O340" s="162"/>
      <c r="P340" s="162"/>
    </row>
    <row r="341" spans="1:16" ht="20.100000000000001" customHeight="1">
      <c r="A341" s="228"/>
      <c r="B341" s="39"/>
      <c r="C341" s="25" t="s">
        <v>12</v>
      </c>
      <c r="D341" s="34">
        <v>2</v>
      </c>
      <c r="E341" s="35">
        <v>7.5</v>
      </c>
      <c r="F341" s="13"/>
      <c r="G341" s="35">
        <v>0.9</v>
      </c>
      <c r="H341" s="193">
        <f>D341*E341*G341</f>
        <v>13.5</v>
      </c>
      <c r="I341" s="185" t="s">
        <v>366</v>
      </c>
      <c r="J341" s="285"/>
      <c r="K341" s="285"/>
      <c r="L341" s="1"/>
      <c r="N341" s="167"/>
      <c r="O341" s="162"/>
      <c r="P341" s="162"/>
    </row>
    <row r="342" spans="1:16" ht="20.100000000000001" customHeight="1">
      <c r="A342" s="228"/>
      <c r="B342" s="39"/>
      <c r="C342" s="25" t="s">
        <v>265</v>
      </c>
      <c r="D342" s="34">
        <v>2</v>
      </c>
      <c r="E342" s="35">
        <v>16</v>
      </c>
      <c r="F342" s="36"/>
      <c r="G342" s="35">
        <v>0.9</v>
      </c>
      <c r="H342" s="193">
        <f>E342*G342*4*9</f>
        <v>518.4</v>
      </c>
      <c r="I342" s="185" t="s">
        <v>366</v>
      </c>
      <c r="J342" s="285"/>
      <c r="K342" s="285"/>
      <c r="L342" s="1"/>
      <c r="N342" s="167"/>
      <c r="O342" s="162"/>
      <c r="P342" s="162"/>
    </row>
    <row r="343" spans="1:16" ht="20.100000000000001" customHeight="1">
      <c r="A343" s="228"/>
      <c r="B343" s="39"/>
      <c r="C343" s="25" t="s">
        <v>12</v>
      </c>
      <c r="D343" s="34">
        <v>2</v>
      </c>
      <c r="E343" s="35">
        <v>15.5</v>
      </c>
      <c r="F343" s="312"/>
      <c r="G343" s="295">
        <v>0.9</v>
      </c>
      <c r="H343" s="296">
        <f>D343*E343*G343</f>
        <v>27.900000000000002</v>
      </c>
      <c r="I343" s="185" t="s">
        <v>366</v>
      </c>
      <c r="J343" s="285"/>
      <c r="K343" s="285"/>
      <c r="L343" s="1"/>
      <c r="N343" s="167"/>
      <c r="O343" s="162"/>
      <c r="P343" s="162"/>
    </row>
    <row r="344" spans="1:16" ht="20.100000000000001" customHeight="1">
      <c r="A344" s="228"/>
      <c r="B344" s="39"/>
      <c r="C344" s="24"/>
      <c r="D344" s="375"/>
      <c r="E344" s="256"/>
      <c r="F344" s="878" t="s">
        <v>44</v>
      </c>
      <c r="G344" s="865"/>
      <c r="H344" s="241">
        <f>SUM(H338:H343)</f>
        <v>1992.6000000000004</v>
      </c>
      <c r="I344" s="229" t="s">
        <v>367</v>
      </c>
      <c r="J344" s="276"/>
      <c r="K344" s="276"/>
      <c r="L344" s="1"/>
      <c r="N344" s="167"/>
      <c r="O344" s="162"/>
      <c r="P344" s="162"/>
    </row>
    <row r="345" spans="1:16" ht="20.100000000000001" customHeight="1">
      <c r="A345" s="279"/>
      <c r="B345" s="103"/>
      <c r="C345" s="178"/>
      <c r="D345" s="376"/>
      <c r="E345" s="377"/>
      <c r="F345" s="372"/>
      <c r="G345" s="301" t="s">
        <v>10</v>
      </c>
      <c r="H345" s="233">
        <f>ROUNDUP(H344,0)</f>
        <v>1993</v>
      </c>
      <c r="I345" s="234" t="s">
        <v>367</v>
      </c>
      <c r="J345" s="359">
        <v>305</v>
      </c>
      <c r="K345" s="351">
        <f>J345*H345</f>
        <v>607865</v>
      </c>
      <c r="L345" s="1"/>
      <c r="N345" s="167"/>
      <c r="O345" s="162"/>
      <c r="P345" s="162"/>
    </row>
    <row r="346" spans="1:16" ht="20.100000000000001" customHeight="1">
      <c r="A346" s="228"/>
      <c r="B346" s="39"/>
      <c r="C346" s="24"/>
      <c r="D346" s="286"/>
      <c r="E346" s="287"/>
      <c r="F346" s="287"/>
      <c r="G346" s="198"/>
      <c r="H346" s="189"/>
      <c r="I346" s="189"/>
      <c r="J346" s="199"/>
      <c r="K346" s="201"/>
      <c r="L346" s="1"/>
      <c r="N346" s="167"/>
      <c r="O346" s="162"/>
      <c r="P346" s="162"/>
    </row>
    <row r="347" spans="1:16" ht="75">
      <c r="A347" s="279"/>
      <c r="B347" s="103" t="s">
        <v>326</v>
      </c>
      <c r="C347" s="326" t="s">
        <v>327</v>
      </c>
      <c r="D347" s="869" t="s">
        <v>398</v>
      </c>
      <c r="E347" s="870"/>
      <c r="F347" s="870"/>
      <c r="G347" s="871"/>
      <c r="H347" s="233">
        <f>H102*40%</f>
        <v>286</v>
      </c>
      <c r="I347" s="234" t="s">
        <v>367</v>
      </c>
      <c r="J347" s="282">
        <v>208</v>
      </c>
      <c r="K347" s="373">
        <f>J347*H347</f>
        <v>59488</v>
      </c>
      <c r="L347" s="1"/>
      <c r="N347" s="167"/>
      <c r="O347" s="162"/>
      <c r="P347" s="162"/>
    </row>
    <row r="348" spans="1:16" ht="20.100000000000001" customHeight="1">
      <c r="A348" s="228"/>
      <c r="B348" s="39"/>
      <c r="C348" s="24"/>
      <c r="D348" s="286"/>
      <c r="E348" s="287"/>
      <c r="F348" s="287"/>
      <c r="G348" s="3"/>
      <c r="H348" s="244"/>
      <c r="I348" s="245"/>
      <c r="J348" s="227"/>
      <c r="K348" s="227"/>
      <c r="L348" s="64"/>
      <c r="N348" s="167"/>
      <c r="O348" s="162"/>
      <c r="P348" s="162"/>
    </row>
    <row r="349" spans="1:16" ht="150" customHeight="1">
      <c r="A349" s="231">
        <v>11</v>
      </c>
      <c r="B349" s="39" t="s">
        <v>137</v>
      </c>
      <c r="C349" s="30" t="s">
        <v>138</v>
      </c>
      <c r="D349" s="34"/>
      <c r="E349" s="35"/>
      <c r="F349" s="35"/>
      <c r="G349" s="265"/>
      <c r="H349" s="193"/>
      <c r="I349" s="229"/>
      <c r="J349" s="191"/>
      <c r="K349" s="191"/>
      <c r="L349" s="64"/>
      <c r="N349" s="167"/>
      <c r="O349" s="162"/>
      <c r="P349" s="162"/>
    </row>
    <row r="350" spans="1:16" ht="20.100000000000001" customHeight="1">
      <c r="A350" s="228"/>
      <c r="B350" s="39"/>
      <c r="C350" s="174" t="s">
        <v>393</v>
      </c>
      <c r="D350" s="34"/>
      <c r="E350" s="35"/>
      <c r="F350" s="35"/>
      <c r="G350" s="35"/>
      <c r="H350" s="185">
        <f>H24</f>
        <v>180</v>
      </c>
      <c r="I350" s="219" t="s">
        <v>366</v>
      </c>
      <c r="J350" s="191"/>
      <c r="K350" s="191"/>
      <c r="L350" s="1"/>
      <c r="N350" s="167"/>
      <c r="O350" s="162"/>
      <c r="P350" s="162"/>
    </row>
    <row r="351" spans="1:16" ht="20.100000000000001" customHeight="1">
      <c r="A351" s="228"/>
      <c r="B351" s="39"/>
      <c r="C351" s="163" t="s">
        <v>324</v>
      </c>
      <c r="D351" s="34">
        <v>8</v>
      </c>
      <c r="E351" s="35">
        <v>1.9</v>
      </c>
      <c r="F351" s="205">
        <v>1.07</v>
      </c>
      <c r="G351" s="206"/>
      <c r="H351" s="193">
        <f t="shared" ref="H351:H352" si="11">F351*E351*D351</f>
        <v>16.263999999999999</v>
      </c>
      <c r="I351" s="185" t="s">
        <v>366</v>
      </c>
      <c r="J351" s="191"/>
      <c r="K351" s="191"/>
      <c r="L351" s="1"/>
      <c r="N351" s="167"/>
      <c r="O351" s="162"/>
      <c r="P351" s="162"/>
    </row>
    <row r="352" spans="1:16" ht="20.100000000000001" customHeight="1">
      <c r="A352" s="228"/>
      <c r="B352" s="39"/>
      <c r="C352" s="163" t="s">
        <v>325</v>
      </c>
      <c r="D352" s="34">
        <v>12</v>
      </c>
      <c r="E352" s="35">
        <v>1.22</v>
      </c>
      <c r="F352" s="208">
        <v>1.22</v>
      </c>
      <c r="G352" s="374"/>
      <c r="H352" s="296">
        <f t="shared" si="11"/>
        <v>17.860799999999998</v>
      </c>
      <c r="I352" s="185" t="s">
        <v>366</v>
      </c>
      <c r="J352" s="191"/>
      <c r="K352" s="191"/>
      <c r="L352" s="1"/>
      <c r="N352" s="167"/>
      <c r="O352" s="162"/>
      <c r="P352" s="162"/>
    </row>
    <row r="353" spans="1:16" ht="20.100000000000001" customHeight="1">
      <c r="A353" s="228"/>
      <c r="B353" s="39"/>
      <c r="C353" s="30"/>
      <c r="D353" s="34"/>
      <c r="E353" s="35"/>
      <c r="F353" s="885" t="s">
        <v>43</v>
      </c>
      <c r="G353" s="922"/>
      <c r="H353" s="358">
        <f>SUM(H350:H352)</f>
        <v>214.12479999999999</v>
      </c>
      <c r="I353" s="229" t="s">
        <v>367</v>
      </c>
      <c r="J353" s="191"/>
      <c r="K353" s="191"/>
      <c r="L353" s="1"/>
      <c r="N353" s="167"/>
      <c r="O353" s="162"/>
      <c r="P353" s="162"/>
    </row>
    <row r="354" spans="1:16" ht="20.100000000000001" customHeight="1">
      <c r="A354" s="279"/>
      <c r="B354" s="103"/>
      <c r="C354" s="104"/>
      <c r="D354" s="299"/>
      <c r="E354" s="295"/>
      <c r="F354" s="327"/>
      <c r="G354" s="301" t="s">
        <v>10</v>
      </c>
      <c r="H354" s="233">
        <f>ROUNDUP(H353,0)</f>
        <v>215</v>
      </c>
      <c r="I354" s="234" t="s">
        <v>367</v>
      </c>
      <c r="J354" s="359">
        <v>990</v>
      </c>
      <c r="K354" s="351">
        <f>J354*H354</f>
        <v>212850</v>
      </c>
      <c r="L354" s="1"/>
      <c r="N354" s="167"/>
      <c r="O354" s="162"/>
      <c r="P354" s="162"/>
    </row>
    <row r="355" spans="1:16" ht="150" customHeight="1">
      <c r="A355" s="292">
        <v>12</v>
      </c>
      <c r="B355" s="105" t="s">
        <v>139</v>
      </c>
      <c r="C355" s="378" t="s">
        <v>140</v>
      </c>
      <c r="D355" s="875" t="s">
        <v>331</v>
      </c>
      <c r="E355" s="876"/>
      <c r="F355" s="876"/>
      <c r="G355" s="877"/>
      <c r="H355" s="293">
        <f>H285</f>
        <v>4864</v>
      </c>
      <c r="I355" s="237" t="s">
        <v>367</v>
      </c>
      <c r="J355" s="380">
        <v>7</v>
      </c>
      <c r="K355" s="381">
        <f>J355*H355</f>
        <v>34048</v>
      </c>
      <c r="L355" s="64"/>
      <c r="N355" s="167"/>
      <c r="O355" s="162"/>
      <c r="P355" s="162"/>
    </row>
    <row r="356" spans="1:16" ht="20.100000000000001" customHeight="1">
      <c r="A356" s="379"/>
      <c r="B356" s="356"/>
      <c r="C356" s="30"/>
      <c r="D356" s="252"/>
      <c r="E356" s="251"/>
      <c r="F356" s="251"/>
      <c r="G356" s="188"/>
      <c r="H356" s="229"/>
      <c r="I356" s="229"/>
      <c r="J356" s="247"/>
      <c r="K356" s="201"/>
      <c r="L356" s="1"/>
      <c r="N356" s="167"/>
      <c r="O356" s="162"/>
      <c r="P356" s="162"/>
    </row>
    <row r="357" spans="1:16" ht="138" customHeight="1">
      <c r="A357" s="231">
        <v>13</v>
      </c>
      <c r="B357" s="39" t="s">
        <v>141</v>
      </c>
      <c r="C357" s="30" t="s">
        <v>142</v>
      </c>
      <c r="D357" s="34"/>
      <c r="E357" s="35"/>
      <c r="F357" s="35"/>
      <c r="G357" s="265"/>
      <c r="H357" s="193"/>
      <c r="I357" s="229"/>
      <c r="J357" s="191"/>
      <c r="K357" s="191"/>
      <c r="L357" s="64"/>
      <c r="N357" s="167"/>
      <c r="O357" s="162"/>
      <c r="P357" s="162"/>
    </row>
    <row r="358" spans="1:16" ht="20.100000000000001" customHeight="1">
      <c r="A358" s="228"/>
      <c r="B358" s="39"/>
      <c r="C358" s="101" t="s">
        <v>179</v>
      </c>
      <c r="D358" s="34"/>
      <c r="E358" s="35"/>
      <c r="F358" s="35"/>
      <c r="G358" s="265"/>
      <c r="H358" s="193"/>
      <c r="I358" s="229"/>
      <c r="J358" s="191"/>
      <c r="K358" s="191"/>
      <c r="L358" s="1"/>
      <c r="N358" s="167"/>
      <c r="O358" s="162"/>
      <c r="P358" s="162"/>
    </row>
    <row r="359" spans="1:16" ht="20.100000000000001" customHeight="1">
      <c r="A359" s="228"/>
      <c r="B359" s="39"/>
      <c r="C359" s="170" t="s">
        <v>149</v>
      </c>
      <c r="D359" s="34"/>
      <c r="E359" s="35"/>
      <c r="F359" s="205"/>
      <c r="G359" s="206"/>
      <c r="H359" s="189"/>
      <c r="I359" s="229"/>
      <c r="J359" s="191"/>
      <c r="K359" s="191"/>
      <c r="L359" s="1"/>
      <c r="N359" s="167"/>
      <c r="O359" s="162"/>
      <c r="P359" s="162"/>
    </row>
    <row r="360" spans="1:16" ht="33.75" customHeight="1">
      <c r="A360" s="228"/>
      <c r="B360" s="39"/>
      <c r="C360" s="170" t="s">
        <v>168</v>
      </c>
      <c r="D360" s="286" t="s">
        <v>217</v>
      </c>
      <c r="E360" s="35">
        <v>1</v>
      </c>
      <c r="F360" s="205">
        <v>2.15</v>
      </c>
      <c r="G360" s="206"/>
      <c r="H360" s="193">
        <f>F360*E360*8*2*1.125</f>
        <v>38.699999999999996</v>
      </c>
      <c r="I360" s="185" t="s">
        <v>366</v>
      </c>
      <c r="J360" s="151"/>
      <c r="K360" s="151"/>
      <c r="L360" s="1"/>
      <c r="N360" s="167"/>
      <c r="O360" s="162"/>
      <c r="P360" s="162"/>
    </row>
    <row r="361" spans="1:16" ht="20.100000000000001" customHeight="1">
      <c r="A361" s="228"/>
      <c r="B361" s="39"/>
      <c r="C361" s="170" t="s">
        <v>221</v>
      </c>
      <c r="D361" s="34">
        <v>8</v>
      </c>
      <c r="E361" s="35">
        <v>1.8</v>
      </c>
      <c r="F361" s="205">
        <v>1.35</v>
      </c>
      <c r="G361" s="206"/>
      <c r="H361" s="193">
        <f>F361*E361*D361</f>
        <v>19.440000000000001</v>
      </c>
      <c r="I361" s="185" t="s">
        <v>366</v>
      </c>
      <c r="J361" s="151"/>
      <c r="K361" s="151"/>
      <c r="L361" s="1"/>
      <c r="N361" s="167"/>
      <c r="O361" s="162"/>
      <c r="P361" s="162"/>
    </row>
    <row r="362" spans="1:16" ht="20.100000000000001" customHeight="1">
      <c r="A362" s="228"/>
      <c r="B362" s="39"/>
      <c r="C362" s="170" t="s">
        <v>193</v>
      </c>
      <c r="D362" s="34" t="s">
        <v>163</v>
      </c>
      <c r="E362" s="35">
        <v>1.8</v>
      </c>
      <c r="F362" s="205">
        <v>0.15</v>
      </c>
      <c r="G362" s="206"/>
      <c r="H362" s="193">
        <f>F362*E362*8*2</f>
        <v>4.32</v>
      </c>
      <c r="I362" s="185" t="s">
        <v>366</v>
      </c>
      <c r="J362" s="151"/>
      <c r="K362" s="151"/>
      <c r="L362" s="1"/>
      <c r="N362" s="167"/>
      <c r="O362" s="162"/>
      <c r="P362" s="162"/>
    </row>
    <row r="363" spans="1:16" ht="20.100000000000001" customHeight="1">
      <c r="A363" s="228"/>
      <c r="B363" s="39"/>
      <c r="C363" s="170"/>
      <c r="D363" s="34" t="s">
        <v>163</v>
      </c>
      <c r="E363" s="35">
        <v>1.35</v>
      </c>
      <c r="F363" s="205">
        <v>0.15</v>
      </c>
      <c r="G363" s="206"/>
      <c r="H363" s="193">
        <f>F363*E363*8*2</f>
        <v>3.24</v>
      </c>
      <c r="I363" s="185" t="s">
        <v>366</v>
      </c>
      <c r="J363" s="151"/>
      <c r="K363" s="151"/>
      <c r="L363" s="1"/>
      <c r="N363" s="167"/>
      <c r="O363" s="162"/>
      <c r="P363" s="162"/>
    </row>
    <row r="364" spans="1:16" ht="20.100000000000001" customHeight="1">
      <c r="A364" s="228"/>
      <c r="B364" s="39"/>
      <c r="C364" s="170" t="s">
        <v>172</v>
      </c>
      <c r="D364" s="34"/>
      <c r="E364" s="35"/>
      <c r="F364" s="205"/>
      <c r="G364" s="206"/>
      <c r="H364" s="189"/>
      <c r="I364" s="229"/>
      <c r="J364" s="191"/>
      <c r="K364" s="191"/>
      <c r="L364" s="1"/>
      <c r="N364" s="167"/>
      <c r="O364" s="162"/>
      <c r="P364" s="162"/>
    </row>
    <row r="365" spans="1:16" ht="31.5" customHeight="1">
      <c r="A365" s="228"/>
      <c r="B365" s="39"/>
      <c r="C365" s="170" t="s">
        <v>169</v>
      </c>
      <c r="D365" s="286" t="s">
        <v>217</v>
      </c>
      <c r="E365" s="35">
        <v>0.9</v>
      </c>
      <c r="F365" s="205">
        <v>2.15</v>
      </c>
      <c r="G365" s="206"/>
      <c r="H365" s="193">
        <f>F365*E365*8*2*1.125</f>
        <v>34.83</v>
      </c>
      <c r="I365" s="185" t="s">
        <v>366</v>
      </c>
      <c r="J365" s="151"/>
      <c r="K365" s="151"/>
      <c r="L365" s="1"/>
      <c r="N365" s="167"/>
      <c r="O365" s="162"/>
      <c r="P365" s="162"/>
    </row>
    <row r="366" spans="1:16" ht="20.100000000000001" customHeight="1">
      <c r="A366" s="228"/>
      <c r="B366" s="39"/>
      <c r="C366" s="170" t="s">
        <v>173</v>
      </c>
      <c r="D366" s="34">
        <v>8</v>
      </c>
      <c r="E366" s="35">
        <v>1</v>
      </c>
      <c r="F366" s="205">
        <v>1.2</v>
      </c>
      <c r="G366" s="206"/>
      <c r="H366" s="193">
        <f>F366*E366*D366</f>
        <v>9.6</v>
      </c>
      <c r="I366" s="185" t="s">
        <v>366</v>
      </c>
      <c r="J366" s="151"/>
      <c r="K366" s="151"/>
      <c r="L366" s="1"/>
      <c r="N366" s="167"/>
      <c r="O366" s="162"/>
      <c r="P366" s="162"/>
    </row>
    <row r="367" spans="1:16" ht="20.100000000000001" customHeight="1">
      <c r="A367" s="228"/>
      <c r="B367" s="39"/>
      <c r="C367" s="170"/>
      <c r="D367" s="34" t="s">
        <v>163</v>
      </c>
      <c r="E367" s="35">
        <v>1.2</v>
      </c>
      <c r="F367" s="205">
        <v>0.1</v>
      </c>
      <c r="G367" s="206"/>
      <c r="H367" s="193">
        <f>F367*E367*8*2</f>
        <v>1.92</v>
      </c>
      <c r="I367" s="185" t="s">
        <v>366</v>
      </c>
      <c r="J367" s="151"/>
      <c r="K367" s="151"/>
      <c r="L367" s="1"/>
      <c r="N367" s="167"/>
      <c r="O367" s="162"/>
      <c r="P367" s="162"/>
    </row>
    <row r="368" spans="1:16" ht="20.100000000000001" customHeight="1">
      <c r="A368" s="228"/>
      <c r="B368" s="39"/>
      <c r="C368" s="170"/>
      <c r="D368" s="34" t="s">
        <v>163</v>
      </c>
      <c r="E368" s="35">
        <v>1.35</v>
      </c>
      <c r="F368" s="205">
        <v>0.1</v>
      </c>
      <c r="G368" s="206"/>
      <c r="H368" s="193">
        <f>F368*E368*8*2</f>
        <v>2.16</v>
      </c>
      <c r="I368" s="185" t="s">
        <v>366</v>
      </c>
      <c r="J368" s="151"/>
      <c r="K368" s="151"/>
      <c r="L368" s="1"/>
      <c r="N368" s="167"/>
      <c r="O368" s="162"/>
      <c r="P368" s="162"/>
    </row>
    <row r="369" spans="1:16" ht="20.100000000000001" customHeight="1">
      <c r="A369" s="228"/>
      <c r="B369" s="39"/>
      <c r="C369" s="170" t="s">
        <v>174</v>
      </c>
      <c r="D369" s="34">
        <v>8</v>
      </c>
      <c r="E369" s="35">
        <v>0.6</v>
      </c>
      <c r="F369" s="205">
        <v>1.2</v>
      </c>
      <c r="G369" s="206"/>
      <c r="H369" s="193">
        <f>F369*E369*D369</f>
        <v>5.76</v>
      </c>
      <c r="I369" s="185" t="s">
        <v>366</v>
      </c>
      <c r="J369" s="151"/>
      <c r="K369" s="151"/>
      <c r="L369" s="1"/>
      <c r="N369" s="167"/>
      <c r="O369" s="162"/>
      <c r="P369" s="162"/>
    </row>
    <row r="370" spans="1:16" ht="20.100000000000001" customHeight="1">
      <c r="A370" s="228"/>
      <c r="B370" s="39"/>
      <c r="C370" s="170" t="s">
        <v>219</v>
      </c>
      <c r="D370" s="34" t="s">
        <v>163</v>
      </c>
      <c r="E370" s="35">
        <v>0.6</v>
      </c>
      <c r="F370" s="205">
        <v>1.2</v>
      </c>
      <c r="G370" s="206"/>
      <c r="H370" s="193">
        <f>F370*E370*8*2</f>
        <v>11.52</v>
      </c>
      <c r="I370" s="185" t="s">
        <v>366</v>
      </c>
      <c r="J370" s="151"/>
      <c r="K370" s="151"/>
      <c r="L370" s="1"/>
      <c r="N370" s="167"/>
      <c r="O370" s="162"/>
      <c r="P370" s="162"/>
    </row>
    <row r="371" spans="1:16" ht="20.100000000000001" customHeight="1">
      <c r="A371" s="228"/>
      <c r="B371" s="39"/>
      <c r="C371" s="170"/>
      <c r="D371" s="34"/>
      <c r="E371" s="35"/>
      <c r="F371" s="205"/>
      <c r="G371" s="206"/>
      <c r="H371" s="193"/>
      <c r="I371" s="185"/>
      <c r="J371" s="151"/>
      <c r="K371" s="151"/>
      <c r="L371" s="1"/>
      <c r="N371" s="167"/>
      <c r="O371" s="162"/>
      <c r="P371" s="162"/>
    </row>
    <row r="372" spans="1:16" ht="30" customHeight="1">
      <c r="A372" s="228"/>
      <c r="B372" s="39"/>
      <c r="C372" s="170" t="s">
        <v>177</v>
      </c>
      <c r="D372" s="286" t="s">
        <v>217</v>
      </c>
      <c r="E372" s="35">
        <v>0.9</v>
      </c>
      <c r="F372" s="208">
        <v>2.15</v>
      </c>
      <c r="G372" s="209"/>
      <c r="H372" s="210">
        <f>F372*E372*8*2*1.125</f>
        <v>34.83</v>
      </c>
      <c r="I372" s="275" t="s">
        <v>366</v>
      </c>
      <c r="J372" s="151"/>
      <c r="K372" s="151"/>
      <c r="L372" s="1"/>
      <c r="N372" s="167"/>
      <c r="O372" s="162"/>
      <c r="P372" s="162"/>
    </row>
    <row r="373" spans="1:16" ht="20.100000000000001" customHeight="1">
      <c r="A373" s="228"/>
      <c r="B373" s="39"/>
      <c r="C373" s="101"/>
      <c r="D373" s="34"/>
      <c r="E373" s="35"/>
      <c r="F373" s="885" t="s">
        <v>43</v>
      </c>
      <c r="G373" s="886"/>
      <c r="H373" s="233">
        <f>SUM(H360:H372)</f>
        <v>166.32</v>
      </c>
      <c r="I373" s="234" t="s">
        <v>368</v>
      </c>
      <c r="J373" s="191"/>
      <c r="K373" s="191"/>
      <c r="L373" s="1"/>
      <c r="N373" s="167"/>
      <c r="O373" s="162"/>
      <c r="P373" s="162"/>
    </row>
    <row r="374" spans="1:16" ht="20.100000000000001" customHeight="1">
      <c r="A374" s="228"/>
      <c r="B374" s="39"/>
      <c r="C374" s="101"/>
      <c r="D374" s="34"/>
      <c r="E374" s="35"/>
      <c r="F374" s="890" t="s">
        <v>10</v>
      </c>
      <c r="G374" s="891"/>
      <c r="H374" s="293">
        <f>ROUNDUP(H373,0)</f>
        <v>167</v>
      </c>
      <c r="I374" s="237" t="s">
        <v>381</v>
      </c>
      <c r="J374" s="191">
        <v>13</v>
      </c>
      <c r="K374" s="151">
        <f>J374*H374</f>
        <v>2171</v>
      </c>
      <c r="L374" s="1"/>
      <c r="N374" s="167"/>
      <c r="O374" s="162"/>
      <c r="P374" s="162"/>
    </row>
    <row r="375" spans="1:16" ht="20.100000000000001" customHeight="1">
      <c r="A375" s="228"/>
      <c r="B375" s="39"/>
      <c r="C375" s="248" t="s">
        <v>220</v>
      </c>
      <c r="D375" s="34"/>
      <c r="E375" s="35"/>
      <c r="F375" s="205"/>
      <c r="G375" s="206"/>
      <c r="H375" s="189"/>
      <c r="I375" s="229"/>
      <c r="J375" s="191"/>
      <c r="K375" s="191"/>
      <c r="L375" s="1"/>
      <c r="N375" s="167"/>
      <c r="O375" s="162"/>
      <c r="P375" s="162"/>
    </row>
    <row r="376" spans="1:16" ht="20.100000000000001" customHeight="1">
      <c r="A376" s="228"/>
      <c r="B376" s="39"/>
      <c r="C376" s="170" t="s">
        <v>149</v>
      </c>
      <c r="D376" s="34"/>
      <c r="E376" s="35"/>
      <c r="F376" s="205"/>
      <c r="G376" s="206"/>
      <c r="H376" s="189"/>
      <c r="I376" s="229"/>
      <c r="J376" s="191"/>
      <c r="K376" s="191"/>
      <c r="L376" s="1"/>
      <c r="N376" s="167"/>
      <c r="O376" s="162"/>
      <c r="P376" s="162"/>
    </row>
    <row r="377" spans="1:16" ht="33" customHeight="1">
      <c r="A377" s="228"/>
      <c r="B377" s="39"/>
      <c r="C377" s="170" t="s">
        <v>168</v>
      </c>
      <c r="D377" s="286" t="s">
        <v>217</v>
      </c>
      <c r="E377" s="35">
        <v>1</v>
      </c>
      <c r="F377" s="205">
        <v>2.2000000000000002</v>
      </c>
      <c r="G377" s="206"/>
      <c r="H377" s="193">
        <f>F377*E377*8*2*1.125</f>
        <v>39.6</v>
      </c>
      <c r="I377" s="185" t="s">
        <v>366</v>
      </c>
      <c r="J377" s="151"/>
      <c r="K377" s="151"/>
      <c r="L377" s="1"/>
      <c r="N377" s="167"/>
      <c r="O377" s="162"/>
      <c r="P377" s="162"/>
    </row>
    <row r="378" spans="1:16" ht="20.100000000000001" customHeight="1">
      <c r="A378" s="228"/>
      <c r="B378" s="39"/>
      <c r="C378" s="170" t="s">
        <v>221</v>
      </c>
      <c r="D378" s="34">
        <v>8</v>
      </c>
      <c r="E378" s="35">
        <v>1.8</v>
      </c>
      <c r="F378" s="205">
        <v>1.35</v>
      </c>
      <c r="G378" s="206"/>
      <c r="H378" s="193">
        <f>F378*E378*D378</f>
        <v>19.440000000000001</v>
      </c>
      <c r="I378" s="185" t="s">
        <v>366</v>
      </c>
      <c r="J378" s="151"/>
      <c r="K378" s="151"/>
      <c r="L378" s="1"/>
      <c r="N378" s="167"/>
      <c r="O378" s="162"/>
      <c r="P378" s="162"/>
    </row>
    <row r="379" spans="1:16" ht="20.100000000000001" customHeight="1">
      <c r="A379" s="228"/>
      <c r="B379" s="39"/>
      <c r="C379" s="170" t="s">
        <v>193</v>
      </c>
      <c r="D379" s="34" t="s">
        <v>163</v>
      </c>
      <c r="E379" s="35">
        <v>1.8</v>
      </c>
      <c r="F379" s="205">
        <v>0.3</v>
      </c>
      <c r="G379" s="206"/>
      <c r="H379" s="193">
        <f>F379*E379*8*2</f>
        <v>8.64</v>
      </c>
      <c r="I379" s="185" t="s">
        <v>366</v>
      </c>
      <c r="J379" s="151"/>
      <c r="K379" s="151"/>
      <c r="L379" s="1"/>
      <c r="N379" s="167"/>
      <c r="O379" s="162"/>
      <c r="P379" s="162"/>
    </row>
    <row r="380" spans="1:16" ht="20.100000000000001" customHeight="1">
      <c r="A380" s="228"/>
      <c r="B380" s="39"/>
      <c r="C380" s="170"/>
      <c r="D380" s="34" t="s">
        <v>163</v>
      </c>
      <c r="E380" s="35">
        <v>1.36</v>
      </c>
      <c r="F380" s="205">
        <v>0.3</v>
      </c>
      <c r="G380" s="206"/>
      <c r="H380" s="193">
        <f>F380*E380*8*2</f>
        <v>6.5280000000000005</v>
      </c>
      <c r="I380" s="185" t="s">
        <v>366</v>
      </c>
      <c r="J380" s="151"/>
      <c r="K380" s="151"/>
      <c r="L380" s="1"/>
      <c r="N380" s="167"/>
      <c r="O380" s="162"/>
      <c r="P380" s="162"/>
    </row>
    <row r="381" spans="1:16" ht="20.100000000000001" customHeight="1">
      <c r="A381" s="228"/>
      <c r="B381" s="39"/>
      <c r="C381" s="170" t="s">
        <v>159</v>
      </c>
      <c r="D381" s="34"/>
      <c r="E381" s="35"/>
      <c r="F381" s="205"/>
      <c r="G381" s="206"/>
      <c r="H381" s="189"/>
      <c r="I381" s="229"/>
      <c r="J381" s="191"/>
      <c r="K381" s="191"/>
      <c r="L381" s="1"/>
      <c r="N381" s="167"/>
      <c r="O381" s="162"/>
      <c r="P381" s="162"/>
    </row>
    <row r="382" spans="1:16" ht="31.5" customHeight="1">
      <c r="A382" s="228"/>
      <c r="B382" s="39"/>
      <c r="C382" s="170" t="s">
        <v>168</v>
      </c>
      <c r="D382" s="286" t="s">
        <v>217</v>
      </c>
      <c r="E382" s="35">
        <v>1</v>
      </c>
      <c r="F382" s="205">
        <v>2.2000000000000002</v>
      </c>
      <c r="G382" s="206"/>
      <c r="H382" s="193">
        <f>F382*E382*8*2*1.125</f>
        <v>39.6</v>
      </c>
      <c r="I382" s="185" t="s">
        <v>366</v>
      </c>
      <c r="J382" s="151"/>
      <c r="K382" s="151"/>
      <c r="L382" s="1"/>
      <c r="N382" s="167"/>
      <c r="O382" s="162"/>
      <c r="P382" s="162"/>
    </row>
    <row r="383" spans="1:16" ht="20.100000000000001" customHeight="1">
      <c r="A383" s="228"/>
      <c r="B383" s="39"/>
      <c r="C383" s="170" t="s">
        <v>173</v>
      </c>
      <c r="D383" s="34">
        <v>8</v>
      </c>
      <c r="E383" s="35">
        <v>1</v>
      </c>
      <c r="F383" s="205">
        <v>1.2</v>
      </c>
      <c r="G383" s="206"/>
      <c r="H383" s="193">
        <f>F383*E383*D383</f>
        <v>9.6</v>
      </c>
      <c r="I383" s="185" t="s">
        <v>366</v>
      </c>
      <c r="J383" s="151"/>
      <c r="K383" s="151"/>
      <c r="L383" s="1"/>
      <c r="N383" s="167"/>
      <c r="O383" s="162"/>
      <c r="P383" s="162"/>
    </row>
    <row r="384" spans="1:16" ht="20.100000000000001" customHeight="1">
      <c r="A384" s="228"/>
      <c r="B384" s="39"/>
      <c r="C384" s="170"/>
      <c r="D384" s="34" t="s">
        <v>163</v>
      </c>
      <c r="E384" s="35">
        <v>1.2</v>
      </c>
      <c r="F384" s="205">
        <v>0.1</v>
      </c>
      <c r="G384" s="206"/>
      <c r="H384" s="193">
        <f>F384*E384*8*2</f>
        <v>1.92</v>
      </c>
      <c r="I384" s="185" t="s">
        <v>366</v>
      </c>
      <c r="J384" s="151"/>
      <c r="K384" s="151"/>
      <c r="L384" s="1"/>
      <c r="N384" s="167"/>
      <c r="O384" s="162"/>
      <c r="P384" s="162"/>
    </row>
    <row r="385" spans="1:16" ht="20.100000000000001" customHeight="1">
      <c r="A385" s="228"/>
      <c r="B385" s="39"/>
      <c r="C385" s="170"/>
      <c r="D385" s="34" t="s">
        <v>163</v>
      </c>
      <c r="E385" s="35">
        <v>1.35</v>
      </c>
      <c r="F385" s="205">
        <v>0.1</v>
      </c>
      <c r="G385" s="206"/>
      <c r="H385" s="193">
        <f>F385*E385*8*2</f>
        <v>2.16</v>
      </c>
      <c r="I385" s="185" t="s">
        <v>366</v>
      </c>
      <c r="J385" s="151"/>
      <c r="K385" s="151"/>
      <c r="L385" s="1"/>
      <c r="N385" s="167"/>
      <c r="O385" s="162"/>
      <c r="P385" s="162"/>
    </row>
    <row r="386" spans="1:16" ht="20.100000000000001" customHeight="1">
      <c r="A386" s="228"/>
      <c r="B386" s="39"/>
      <c r="C386" s="170" t="s">
        <v>174</v>
      </c>
      <c r="D386" s="34">
        <v>8</v>
      </c>
      <c r="E386" s="35">
        <v>0.6</v>
      </c>
      <c r="F386" s="205">
        <v>1.2</v>
      </c>
      <c r="G386" s="206"/>
      <c r="H386" s="193">
        <f>F386*E386*D386</f>
        <v>5.76</v>
      </c>
      <c r="I386" s="185" t="s">
        <v>366</v>
      </c>
      <c r="J386" s="151"/>
      <c r="K386" s="151"/>
      <c r="L386" s="1"/>
      <c r="N386" s="167"/>
      <c r="O386" s="162"/>
      <c r="P386" s="162"/>
    </row>
    <row r="387" spans="1:16" ht="20.100000000000001" customHeight="1">
      <c r="A387" s="228"/>
      <c r="B387" s="39"/>
      <c r="C387" s="170" t="s">
        <v>172</v>
      </c>
      <c r="D387" s="34"/>
      <c r="E387" s="35"/>
      <c r="F387" s="205"/>
      <c r="G387" s="206"/>
      <c r="H387" s="189"/>
      <c r="I387" s="229"/>
      <c r="J387" s="191"/>
      <c r="K387" s="191"/>
      <c r="L387" s="1"/>
      <c r="N387" s="167"/>
      <c r="O387" s="162"/>
      <c r="P387" s="162"/>
    </row>
    <row r="388" spans="1:16" ht="37.5" customHeight="1">
      <c r="A388" s="228"/>
      <c r="B388" s="39"/>
      <c r="C388" s="170" t="s">
        <v>168</v>
      </c>
      <c r="D388" s="286" t="s">
        <v>217</v>
      </c>
      <c r="E388" s="35">
        <v>1</v>
      </c>
      <c r="F388" s="205">
        <v>2.2000000000000002</v>
      </c>
      <c r="G388" s="206"/>
      <c r="H388" s="193">
        <f>F388*E388*8*2*1.125</f>
        <v>39.6</v>
      </c>
      <c r="I388" s="185" t="s">
        <v>366</v>
      </c>
      <c r="J388" s="151"/>
      <c r="K388" s="151"/>
      <c r="L388" s="1"/>
      <c r="N388" s="167"/>
      <c r="O388" s="162"/>
      <c r="P388" s="162"/>
    </row>
    <row r="389" spans="1:16" ht="20.100000000000001" customHeight="1">
      <c r="A389" s="228"/>
      <c r="B389" s="39"/>
      <c r="C389" s="170" t="s">
        <v>173</v>
      </c>
      <c r="D389" s="34">
        <v>8</v>
      </c>
      <c r="E389" s="35">
        <v>1</v>
      </c>
      <c r="F389" s="205">
        <v>1.2</v>
      </c>
      <c r="G389" s="206"/>
      <c r="H389" s="193">
        <f>F389*E389*D389</f>
        <v>9.6</v>
      </c>
      <c r="I389" s="185" t="s">
        <v>366</v>
      </c>
      <c r="J389" s="151"/>
      <c r="K389" s="151"/>
      <c r="L389" s="1"/>
      <c r="N389" s="167"/>
      <c r="O389" s="162"/>
      <c r="P389" s="162"/>
    </row>
    <row r="390" spans="1:16" ht="20.100000000000001" customHeight="1">
      <c r="A390" s="228"/>
      <c r="B390" s="39"/>
      <c r="C390" s="170"/>
      <c r="D390" s="34" t="s">
        <v>163</v>
      </c>
      <c r="E390" s="35">
        <v>1.2</v>
      </c>
      <c r="F390" s="205">
        <v>0.1</v>
      </c>
      <c r="G390" s="206"/>
      <c r="H390" s="193">
        <f>F390*E390*8*2</f>
        <v>1.92</v>
      </c>
      <c r="I390" s="185" t="s">
        <v>366</v>
      </c>
      <c r="J390" s="151"/>
      <c r="K390" s="151"/>
      <c r="L390" s="1"/>
      <c r="N390" s="167"/>
      <c r="O390" s="162"/>
      <c r="P390" s="162"/>
    </row>
    <row r="391" spans="1:16" ht="20.100000000000001" customHeight="1">
      <c r="A391" s="228"/>
      <c r="B391" s="39"/>
      <c r="C391" s="170"/>
      <c r="D391" s="34" t="s">
        <v>163</v>
      </c>
      <c r="E391" s="35">
        <v>1.35</v>
      </c>
      <c r="F391" s="205">
        <v>0.1</v>
      </c>
      <c r="G391" s="206"/>
      <c r="H391" s="193">
        <f>F391*E391*8*2</f>
        <v>2.16</v>
      </c>
      <c r="I391" s="185" t="s">
        <v>366</v>
      </c>
      <c r="J391" s="151"/>
      <c r="K391" s="151"/>
      <c r="L391" s="1"/>
      <c r="N391" s="167"/>
      <c r="O391" s="162"/>
      <c r="P391" s="162"/>
    </row>
    <row r="392" spans="1:16" ht="20.100000000000001" customHeight="1">
      <c r="A392" s="228"/>
      <c r="B392" s="39"/>
      <c r="C392" s="170" t="s">
        <v>152</v>
      </c>
      <c r="D392" s="34"/>
      <c r="E392" s="35"/>
      <c r="F392" s="205"/>
      <c r="G392" s="206"/>
      <c r="H392" s="189"/>
      <c r="I392" s="229"/>
      <c r="J392" s="191"/>
      <c r="K392" s="191"/>
      <c r="L392" s="1"/>
      <c r="N392" s="167"/>
      <c r="O392" s="162"/>
      <c r="P392" s="162"/>
    </row>
    <row r="393" spans="1:16" ht="20.100000000000001" customHeight="1">
      <c r="A393" s="228"/>
      <c r="B393" s="39"/>
      <c r="C393" s="170" t="s">
        <v>175</v>
      </c>
      <c r="D393" s="34">
        <v>8</v>
      </c>
      <c r="E393" s="35">
        <v>0.6</v>
      </c>
      <c r="F393" s="205">
        <v>0.9</v>
      </c>
      <c r="G393" s="206"/>
      <c r="H393" s="193">
        <f>F393*E393*D393</f>
        <v>4.32</v>
      </c>
      <c r="I393" s="185" t="s">
        <v>366</v>
      </c>
      <c r="J393" s="151"/>
      <c r="K393" s="151"/>
      <c r="L393" s="1"/>
      <c r="N393" s="167"/>
      <c r="O393" s="162"/>
      <c r="P393" s="162"/>
    </row>
    <row r="394" spans="1:16" ht="20.100000000000001" customHeight="1">
      <c r="A394" s="228"/>
      <c r="B394" s="39"/>
      <c r="C394" s="170" t="s">
        <v>153</v>
      </c>
      <c r="D394" s="34"/>
      <c r="E394" s="35"/>
      <c r="F394" s="205"/>
      <c r="G394" s="206"/>
      <c r="H394" s="189"/>
      <c r="I394" s="229"/>
      <c r="J394" s="191"/>
      <c r="K394" s="191"/>
      <c r="L394" s="1"/>
      <c r="N394" s="167"/>
      <c r="O394" s="162"/>
      <c r="P394" s="162"/>
    </row>
    <row r="395" spans="1:16" ht="20.100000000000001" customHeight="1">
      <c r="A395" s="228"/>
      <c r="B395" s="39"/>
      <c r="C395" s="170" t="s">
        <v>175</v>
      </c>
      <c r="D395" s="34">
        <v>8</v>
      </c>
      <c r="E395" s="35">
        <v>0.6</v>
      </c>
      <c r="F395" s="205">
        <v>0.9</v>
      </c>
      <c r="G395" s="206"/>
      <c r="H395" s="193">
        <f>F395*E395*D395</f>
        <v>4.32</v>
      </c>
      <c r="I395" s="185" t="s">
        <v>366</v>
      </c>
      <c r="J395" s="151"/>
      <c r="K395" s="151"/>
      <c r="L395" s="1"/>
      <c r="N395" s="167"/>
      <c r="O395" s="162"/>
      <c r="P395" s="162"/>
    </row>
    <row r="396" spans="1:16" ht="20.100000000000001" customHeight="1">
      <c r="A396" s="228"/>
      <c r="B396" s="39"/>
      <c r="C396" s="170" t="s">
        <v>177</v>
      </c>
      <c r="D396" s="286" t="s">
        <v>222</v>
      </c>
      <c r="E396" s="35">
        <v>0.9</v>
      </c>
      <c r="F396" s="205">
        <v>2.1</v>
      </c>
      <c r="G396" s="206"/>
      <c r="H396" s="193">
        <f>F396*E396*2*1.125</f>
        <v>4.2525000000000004</v>
      </c>
      <c r="I396" s="185" t="s">
        <v>366</v>
      </c>
      <c r="J396" s="151"/>
      <c r="K396" s="151"/>
      <c r="L396" s="1"/>
      <c r="N396" s="167"/>
      <c r="O396" s="162"/>
      <c r="P396" s="162"/>
    </row>
    <row r="397" spans="1:16" ht="20.100000000000001" customHeight="1">
      <c r="A397" s="228"/>
      <c r="B397" s="39"/>
      <c r="C397" s="170"/>
      <c r="D397" s="34"/>
      <c r="E397" s="35"/>
      <c r="F397" s="926" t="s">
        <v>158</v>
      </c>
      <c r="G397" s="927"/>
      <c r="H397" s="293">
        <f>SUM(H377:H396)</f>
        <v>199.42049999999998</v>
      </c>
      <c r="I397" s="237" t="s">
        <v>368</v>
      </c>
      <c r="J397" s="191"/>
      <c r="K397" s="191"/>
      <c r="L397" s="1"/>
      <c r="N397" s="167"/>
      <c r="O397" s="162"/>
      <c r="P397" s="162"/>
    </row>
    <row r="398" spans="1:16" ht="20.100000000000001" customHeight="1">
      <c r="A398" s="228"/>
      <c r="B398" s="39"/>
      <c r="C398" s="101"/>
      <c r="D398" s="34"/>
      <c r="E398" s="35"/>
      <c r="F398" s="890" t="s">
        <v>10</v>
      </c>
      <c r="G398" s="891"/>
      <c r="H398" s="293">
        <f>ROUNDUP(H397,0)</f>
        <v>200</v>
      </c>
      <c r="I398" s="237" t="s">
        <v>382</v>
      </c>
      <c r="J398" s="191">
        <v>13</v>
      </c>
      <c r="K398" s="151">
        <f>J398*H398</f>
        <v>2600</v>
      </c>
      <c r="L398" s="1"/>
      <c r="N398" s="167"/>
      <c r="O398" s="162"/>
      <c r="P398" s="162"/>
    </row>
    <row r="399" spans="1:16" ht="20.100000000000001" customHeight="1">
      <c r="A399" s="228"/>
      <c r="B399" s="39"/>
      <c r="C399" s="248" t="s">
        <v>223</v>
      </c>
      <c r="D399" s="34"/>
      <c r="E399" s="35"/>
      <c r="F399" s="205"/>
      <c r="G399" s="206"/>
      <c r="H399" s="189"/>
      <c r="I399" s="229"/>
      <c r="J399" s="191"/>
      <c r="K399" s="191"/>
      <c r="L399" s="1"/>
      <c r="N399" s="167"/>
      <c r="O399" s="162"/>
      <c r="P399" s="162"/>
    </row>
    <row r="400" spans="1:16" ht="20.100000000000001" customHeight="1">
      <c r="A400" s="228"/>
      <c r="B400" s="39"/>
      <c r="C400" s="170" t="s">
        <v>224</v>
      </c>
      <c r="D400" s="34"/>
      <c r="E400" s="35"/>
      <c r="F400" s="205"/>
      <c r="G400" s="206"/>
      <c r="H400" s="189"/>
      <c r="I400" s="229"/>
      <c r="J400" s="191"/>
      <c r="K400" s="191"/>
      <c r="L400" s="1"/>
      <c r="N400" s="167"/>
      <c r="O400" s="162"/>
      <c r="P400" s="162"/>
    </row>
    <row r="401" spans="1:16" ht="33" customHeight="1">
      <c r="A401" s="228"/>
      <c r="B401" s="39"/>
      <c r="C401" s="170" t="s">
        <v>168</v>
      </c>
      <c r="D401" s="286" t="s">
        <v>225</v>
      </c>
      <c r="E401" s="185">
        <v>1</v>
      </c>
      <c r="F401" s="205">
        <v>2.1</v>
      </c>
      <c r="G401" s="206"/>
      <c r="H401" s="193">
        <f>F401*E401*16*2*3*1.125</f>
        <v>226.8</v>
      </c>
      <c r="I401" s="185" t="s">
        <v>366</v>
      </c>
      <c r="J401" s="151"/>
      <c r="K401" s="151"/>
      <c r="L401" s="1"/>
      <c r="N401" s="167"/>
      <c r="O401" s="162"/>
      <c r="P401" s="162"/>
    </row>
    <row r="402" spans="1:16" ht="28.5" customHeight="1">
      <c r="A402" s="228"/>
      <c r="B402" s="39"/>
      <c r="C402" s="170" t="s">
        <v>226</v>
      </c>
      <c r="D402" s="286" t="s">
        <v>227</v>
      </c>
      <c r="E402" s="35">
        <v>1</v>
      </c>
      <c r="F402" s="205">
        <v>1.6</v>
      </c>
      <c r="G402" s="206"/>
      <c r="H402" s="193">
        <f>F402*E402*16*3</f>
        <v>76.800000000000011</v>
      </c>
      <c r="I402" s="185" t="s">
        <v>366</v>
      </c>
      <c r="J402" s="151"/>
      <c r="K402" s="151"/>
      <c r="L402" s="1"/>
      <c r="N402" s="167"/>
      <c r="O402" s="162"/>
      <c r="P402" s="162"/>
    </row>
    <row r="403" spans="1:16" ht="20.100000000000001" customHeight="1">
      <c r="A403" s="228"/>
      <c r="B403" s="39"/>
      <c r="C403" s="170" t="s">
        <v>228</v>
      </c>
      <c r="D403" s="286" t="s">
        <v>227</v>
      </c>
      <c r="E403" s="35">
        <v>0.6</v>
      </c>
      <c r="F403" s="205">
        <v>1.6</v>
      </c>
      <c r="G403" s="206"/>
      <c r="H403" s="193">
        <f>F403*E403*16*3</f>
        <v>46.08</v>
      </c>
      <c r="I403" s="185" t="s">
        <v>366</v>
      </c>
      <c r="J403" s="151"/>
      <c r="K403" s="151"/>
      <c r="L403" s="1"/>
      <c r="N403" s="167"/>
      <c r="O403" s="162"/>
      <c r="P403" s="162"/>
    </row>
    <row r="404" spans="1:16" ht="20.100000000000001" customHeight="1">
      <c r="A404" s="228"/>
      <c r="B404" s="39"/>
      <c r="C404" s="170" t="s">
        <v>229</v>
      </c>
      <c r="D404" s="286">
        <v>16</v>
      </c>
      <c r="E404" s="35">
        <v>0.9</v>
      </c>
      <c r="F404" s="205">
        <v>1.6</v>
      </c>
      <c r="G404" s="206"/>
      <c r="H404" s="193">
        <f>F404*E404*16*3</f>
        <v>69.12</v>
      </c>
      <c r="I404" s="185" t="s">
        <v>366</v>
      </c>
      <c r="J404" s="151"/>
      <c r="K404" s="151"/>
      <c r="L404" s="1"/>
      <c r="N404" s="167"/>
      <c r="O404" s="162"/>
      <c r="P404" s="162"/>
    </row>
    <row r="405" spans="1:16" ht="20.100000000000001" customHeight="1">
      <c r="A405" s="228"/>
      <c r="B405" s="39"/>
      <c r="C405" s="170" t="s">
        <v>178</v>
      </c>
      <c r="D405" s="34">
        <v>16</v>
      </c>
      <c r="E405" s="35">
        <v>2.9</v>
      </c>
      <c r="F405" s="205">
        <v>1.6</v>
      </c>
      <c r="G405" s="206"/>
      <c r="H405" s="193">
        <f>F405*E405*D405</f>
        <v>74.239999999999995</v>
      </c>
      <c r="I405" s="185" t="s">
        <v>366</v>
      </c>
      <c r="J405" s="151"/>
      <c r="K405" s="151"/>
      <c r="L405" s="1"/>
      <c r="N405" s="167"/>
      <c r="O405" s="162"/>
      <c r="P405" s="162"/>
    </row>
    <row r="406" spans="1:16" ht="20.100000000000001" customHeight="1">
      <c r="A406" s="228"/>
      <c r="B406" s="39"/>
      <c r="C406" s="170" t="s">
        <v>152</v>
      </c>
      <c r="D406" s="34"/>
      <c r="E406" s="35"/>
      <c r="F406" s="205"/>
      <c r="G406" s="206"/>
      <c r="H406" s="189"/>
      <c r="I406" s="229"/>
      <c r="J406" s="191"/>
      <c r="K406" s="191"/>
      <c r="L406" s="1"/>
      <c r="N406" s="167"/>
      <c r="O406" s="162"/>
      <c r="P406" s="162"/>
    </row>
    <row r="407" spans="1:16" ht="20.100000000000001" customHeight="1">
      <c r="A407" s="228"/>
      <c r="B407" s="39"/>
      <c r="C407" s="170" t="s">
        <v>175</v>
      </c>
      <c r="D407" s="34">
        <v>16</v>
      </c>
      <c r="E407" s="35">
        <v>0.6</v>
      </c>
      <c r="F407" s="205">
        <v>0.9</v>
      </c>
      <c r="G407" s="206"/>
      <c r="H407" s="193">
        <f>F407*E407*D407</f>
        <v>8.64</v>
      </c>
      <c r="I407" s="185" t="s">
        <v>366</v>
      </c>
      <c r="J407" s="151"/>
      <c r="K407" s="151"/>
      <c r="L407" s="1"/>
      <c r="N407" s="167"/>
      <c r="O407" s="162"/>
      <c r="P407" s="162"/>
    </row>
    <row r="408" spans="1:16" ht="20.100000000000001" customHeight="1">
      <c r="A408" s="228"/>
      <c r="B408" s="39"/>
      <c r="C408" s="170" t="s">
        <v>153</v>
      </c>
      <c r="D408" s="34"/>
      <c r="E408" s="35"/>
      <c r="F408" s="205"/>
      <c r="G408" s="206"/>
      <c r="H408" s="189"/>
      <c r="I408" s="229"/>
      <c r="J408" s="191"/>
      <c r="K408" s="191"/>
      <c r="L408" s="1"/>
      <c r="N408" s="167"/>
      <c r="O408" s="162"/>
      <c r="P408" s="162"/>
    </row>
    <row r="409" spans="1:16" ht="20.100000000000001" customHeight="1">
      <c r="A409" s="228"/>
      <c r="B409" s="39"/>
      <c r="C409" s="170" t="s">
        <v>175</v>
      </c>
      <c r="D409" s="34">
        <v>16</v>
      </c>
      <c r="E409" s="35">
        <v>0.6</v>
      </c>
      <c r="F409" s="205">
        <v>0.9</v>
      </c>
      <c r="G409" s="206"/>
      <c r="H409" s="193">
        <f>F409*E409*D409</f>
        <v>8.64</v>
      </c>
      <c r="I409" s="185" t="s">
        <v>366</v>
      </c>
      <c r="J409" s="151"/>
      <c r="K409" s="151"/>
      <c r="L409" s="1"/>
      <c r="N409" s="167"/>
      <c r="O409" s="162"/>
      <c r="P409" s="162"/>
    </row>
    <row r="410" spans="1:16" ht="20.100000000000001" customHeight="1">
      <c r="A410" s="228"/>
      <c r="B410" s="39"/>
      <c r="C410" s="170" t="s">
        <v>177</v>
      </c>
      <c r="D410" s="34" t="s">
        <v>231</v>
      </c>
      <c r="E410" s="35">
        <v>0.9</v>
      </c>
      <c r="F410" s="205">
        <v>2.15</v>
      </c>
      <c r="G410" s="206"/>
      <c r="H410" s="193">
        <f>F410*E410*2*2*1.125</f>
        <v>8.7074999999999996</v>
      </c>
      <c r="I410" s="185" t="s">
        <v>366</v>
      </c>
      <c r="J410" s="151"/>
      <c r="K410" s="151"/>
      <c r="L410" s="1"/>
      <c r="N410" s="167"/>
      <c r="O410" s="162"/>
      <c r="P410" s="162"/>
    </row>
    <row r="411" spans="1:16" ht="20.100000000000001" customHeight="1">
      <c r="A411" s="228"/>
      <c r="B411" s="39"/>
      <c r="C411" s="30"/>
      <c r="D411" s="34"/>
      <c r="E411" s="35"/>
      <c r="F411" s="885" t="s">
        <v>160</v>
      </c>
      <c r="G411" s="886"/>
      <c r="H411" s="233">
        <f>SUM(H401:H410)</f>
        <v>519.02750000000003</v>
      </c>
      <c r="I411" s="234" t="s">
        <v>368</v>
      </c>
      <c r="J411" s="191"/>
      <c r="K411" s="191"/>
      <c r="L411" s="1"/>
      <c r="N411" s="167"/>
      <c r="O411" s="162"/>
      <c r="P411" s="162"/>
    </row>
    <row r="412" spans="1:16" ht="20.100000000000001" customHeight="1">
      <c r="A412" s="228"/>
      <c r="B412" s="39"/>
      <c r="C412" s="101"/>
      <c r="D412" s="34"/>
      <c r="E412" s="35"/>
      <c r="F412" s="890" t="s">
        <v>10</v>
      </c>
      <c r="G412" s="891"/>
      <c r="H412" s="293">
        <f>ROUNDUP(H411,0)</f>
        <v>520</v>
      </c>
      <c r="I412" s="237" t="s">
        <v>383</v>
      </c>
      <c r="J412" s="191">
        <v>13</v>
      </c>
      <c r="K412" s="151">
        <f>J412*H412</f>
        <v>6760</v>
      </c>
      <c r="L412" s="1"/>
      <c r="N412" s="167"/>
      <c r="O412" s="162"/>
      <c r="P412" s="162"/>
    </row>
    <row r="413" spans="1:16" ht="20.100000000000001" customHeight="1">
      <c r="A413" s="228"/>
      <c r="B413" s="39"/>
      <c r="C413" s="101"/>
      <c r="D413" s="34"/>
      <c r="E413" s="35"/>
      <c r="F413" s="35"/>
      <c r="G413" s="236"/>
      <c r="H413" s="189"/>
      <c r="I413" s="229"/>
      <c r="J413" s="191"/>
      <c r="K413" s="191"/>
      <c r="L413" s="1"/>
      <c r="N413" s="167"/>
      <c r="O413" s="162"/>
      <c r="P413" s="162"/>
    </row>
    <row r="414" spans="1:16" ht="19.5" customHeight="1">
      <c r="A414" s="228"/>
      <c r="B414" s="39"/>
      <c r="C414" s="248" t="s">
        <v>232</v>
      </c>
      <c r="D414" s="34"/>
      <c r="E414" s="35"/>
      <c r="F414" s="205"/>
      <c r="G414" s="206"/>
      <c r="H414" s="189"/>
      <c r="I414" s="229"/>
      <c r="J414" s="191"/>
      <c r="K414" s="191"/>
      <c r="L414" s="1"/>
      <c r="N414" s="167"/>
      <c r="O414" s="162"/>
      <c r="P414" s="162"/>
    </row>
    <row r="415" spans="1:16" ht="19.5" customHeight="1">
      <c r="A415" s="228"/>
      <c r="B415" s="39"/>
      <c r="C415" s="170" t="s">
        <v>171</v>
      </c>
      <c r="D415" s="34">
        <v>3</v>
      </c>
      <c r="E415" s="35">
        <v>2.2000000000000002</v>
      </c>
      <c r="F415" s="205">
        <v>1.2</v>
      </c>
      <c r="G415" s="206"/>
      <c r="H415" s="193">
        <f>F415*E415*D415</f>
        <v>7.92</v>
      </c>
      <c r="I415" s="185" t="s">
        <v>366</v>
      </c>
      <c r="J415" s="151"/>
      <c r="K415" s="151"/>
      <c r="L415" s="1"/>
      <c r="N415" s="167"/>
      <c r="O415" s="162"/>
      <c r="P415" s="162"/>
    </row>
    <row r="416" spans="1:16" ht="19.5" customHeight="1">
      <c r="A416" s="228"/>
      <c r="B416" s="39"/>
      <c r="C416" s="170"/>
      <c r="D416" s="34" t="s">
        <v>128</v>
      </c>
      <c r="E416" s="35">
        <v>2.2000000000000002</v>
      </c>
      <c r="F416" s="205">
        <v>0.1</v>
      </c>
      <c r="G416" s="206"/>
      <c r="H416" s="193">
        <f>F416*E416*3*2</f>
        <v>1.3200000000000003</v>
      </c>
      <c r="I416" s="185" t="s">
        <v>366</v>
      </c>
      <c r="J416" s="151"/>
      <c r="K416" s="151"/>
      <c r="L416" s="102" t="s">
        <v>233</v>
      </c>
      <c r="N416" s="167"/>
      <c r="O416" s="162"/>
      <c r="P416" s="162"/>
    </row>
    <row r="417" spans="1:16" ht="19.5" customHeight="1">
      <c r="A417" s="228"/>
      <c r="B417" s="39"/>
      <c r="C417" s="170"/>
      <c r="D417" s="34" t="s">
        <v>128</v>
      </c>
      <c r="E417" s="35">
        <v>1.2</v>
      </c>
      <c r="F417" s="208">
        <v>0.1</v>
      </c>
      <c r="G417" s="209"/>
      <c r="H417" s="210">
        <f>F417*E417*3*2</f>
        <v>0.72</v>
      </c>
      <c r="I417" s="275" t="s">
        <v>366</v>
      </c>
      <c r="J417" s="151"/>
      <c r="K417" s="151"/>
      <c r="L417" s="102" t="s">
        <v>234</v>
      </c>
      <c r="N417" s="167"/>
      <c r="O417" s="162"/>
      <c r="P417" s="162"/>
    </row>
    <row r="418" spans="1:16" ht="19.5" customHeight="1">
      <c r="A418" s="228"/>
      <c r="B418" s="39"/>
      <c r="C418" s="170"/>
      <c r="D418" s="284"/>
      <c r="E418" s="35"/>
      <c r="F418" s="926" t="s">
        <v>43</v>
      </c>
      <c r="G418" s="927"/>
      <c r="H418" s="241">
        <f>SUM(H415:H417)</f>
        <v>9.9600000000000009</v>
      </c>
      <c r="I418" s="229" t="s">
        <v>368</v>
      </c>
      <c r="J418" s="191"/>
      <c r="K418" s="191"/>
      <c r="L418" s="102" t="s">
        <v>235</v>
      </c>
      <c r="N418" s="167"/>
      <c r="O418" s="162"/>
      <c r="P418" s="162"/>
    </row>
    <row r="419" spans="1:16" ht="19.5" customHeight="1">
      <c r="A419" s="228"/>
      <c r="B419" s="39"/>
      <c r="C419" s="170"/>
      <c r="D419" s="284"/>
      <c r="E419" s="35"/>
      <c r="F419" s="890" t="s">
        <v>10</v>
      </c>
      <c r="G419" s="891"/>
      <c r="H419" s="233">
        <f>ROUNDUP(H418,0)</f>
        <v>10</v>
      </c>
      <c r="I419" s="234" t="s">
        <v>384</v>
      </c>
      <c r="J419" s="191"/>
      <c r="K419" s="191"/>
      <c r="L419" s="102" t="s">
        <v>236</v>
      </c>
      <c r="N419" s="167"/>
      <c r="O419" s="162"/>
      <c r="P419" s="162"/>
    </row>
    <row r="420" spans="1:16" ht="19.5" customHeight="1">
      <c r="A420" s="228"/>
      <c r="B420" s="39"/>
      <c r="C420" s="170" t="s">
        <v>238</v>
      </c>
      <c r="D420" s="284"/>
      <c r="E420" s="35"/>
      <c r="F420" s="289"/>
      <c r="G420" s="236"/>
      <c r="H420" s="189"/>
      <c r="I420" s="229"/>
      <c r="J420" s="191"/>
      <c r="K420" s="191"/>
      <c r="L420" s="102"/>
      <c r="N420" s="167"/>
      <c r="O420" s="162"/>
      <c r="P420" s="162"/>
    </row>
    <row r="421" spans="1:16" ht="19.5" customHeight="1">
      <c r="A421" s="228"/>
      <c r="B421" s="39"/>
      <c r="C421" s="170" t="s">
        <v>240</v>
      </c>
      <c r="D421" s="284">
        <v>2</v>
      </c>
      <c r="E421" s="35">
        <v>101</v>
      </c>
      <c r="F421" s="205">
        <v>1.5</v>
      </c>
      <c r="G421" s="236"/>
      <c r="H421" s="193">
        <f>F421*E421*D421</f>
        <v>303</v>
      </c>
      <c r="I421" s="185" t="s">
        <v>366</v>
      </c>
      <c r="J421" s="151"/>
      <c r="K421" s="151"/>
      <c r="L421" s="102"/>
      <c r="N421" s="167"/>
      <c r="O421" s="162"/>
      <c r="P421" s="162"/>
    </row>
    <row r="422" spans="1:16" ht="19.5" customHeight="1">
      <c r="A422" s="228"/>
      <c r="B422" s="39"/>
      <c r="C422" s="170" t="s">
        <v>239</v>
      </c>
      <c r="D422" s="284">
        <v>2</v>
      </c>
      <c r="E422" s="35">
        <v>43</v>
      </c>
      <c r="F422" s="205">
        <v>1.5</v>
      </c>
      <c r="G422" s="236"/>
      <c r="H422" s="193">
        <f>F422*E422*D422</f>
        <v>129</v>
      </c>
      <c r="I422" s="185" t="s">
        <v>366</v>
      </c>
      <c r="J422" s="151"/>
      <c r="K422" s="151"/>
      <c r="L422" s="102"/>
      <c r="N422" s="167"/>
      <c r="O422" s="162"/>
      <c r="P422" s="162"/>
    </row>
    <row r="423" spans="1:16" ht="19.5" customHeight="1">
      <c r="A423" s="228"/>
      <c r="B423" s="39"/>
      <c r="C423" s="170" t="s">
        <v>241</v>
      </c>
      <c r="D423" s="284">
        <v>2</v>
      </c>
      <c r="E423" s="35">
        <v>102.5</v>
      </c>
      <c r="F423" s="205">
        <v>1.5</v>
      </c>
      <c r="G423" s="236"/>
      <c r="H423" s="193">
        <f>F423*E423*D423</f>
        <v>307.5</v>
      </c>
      <c r="I423" s="185" t="s">
        <v>366</v>
      </c>
      <c r="J423" s="151"/>
      <c r="K423" s="151"/>
      <c r="L423" s="102"/>
      <c r="N423" s="167"/>
      <c r="O423" s="162"/>
      <c r="P423" s="162"/>
    </row>
    <row r="424" spans="1:16" ht="19.5" customHeight="1">
      <c r="A424" s="228"/>
      <c r="B424" s="39"/>
      <c r="C424" s="170" t="s">
        <v>242</v>
      </c>
      <c r="D424" s="284">
        <v>2</v>
      </c>
      <c r="E424" s="35">
        <v>7</v>
      </c>
      <c r="F424" s="208">
        <v>2.5</v>
      </c>
      <c r="G424" s="361"/>
      <c r="H424" s="193">
        <f>F424*E424*D424</f>
        <v>35</v>
      </c>
      <c r="I424" s="185" t="s">
        <v>366</v>
      </c>
      <c r="J424" s="151"/>
      <c r="K424" s="151"/>
      <c r="L424" s="102"/>
      <c r="N424" s="167"/>
      <c r="O424" s="162"/>
      <c r="P424" s="162"/>
    </row>
    <row r="425" spans="1:16" ht="19.5" customHeight="1">
      <c r="A425" s="228"/>
      <c r="B425" s="39"/>
      <c r="C425" s="170"/>
      <c r="D425" s="284"/>
      <c r="E425" s="35"/>
      <c r="F425" s="885" t="s">
        <v>43</v>
      </c>
      <c r="G425" s="886"/>
      <c r="H425" s="233">
        <f>SUM(H421:H424)</f>
        <v>774.5</v>
      </c>
      <c r="I425" s="234" t="s">
        <v>368</v>
      </c>
      <c r="J425" s="191"/>
      <c r="K425" s="191"/>
      <c r="L425" s="102"/>
      <c r="N425" s="167"/>
      <c r="O425" s="162"/>
      <c r="P425" s="162"/>
    </row>
    <row r="426" spans="1:16" ht="19.5" customHeight="1">
      <c r="A426" s="228"/>
      <c r="B426" s="39"/>
      <c r="C426" s="170"/>
      <c r="D426" s="284"/>
      <c r="E426" s="35"/>
      <c r="F426" s="890" t="s">
        <v>10</v>
      </c>
      <c r="G426" s="891"/>
      <c r="H426" s="293">
        <f>ROUNDUP(H425,0)</f>
        <v>775</v>
      </c>
      <c r="I426" s="237" t="s">
        <v>385</v>
      </c>
      <c r="J426" s="191"/>
      <c r="K426" s="191"/>
      <c r="L426" s="102"/>
      <c r="N426" s="167"/>
      <c r="O426" s="162"/>
      <c r="P426" s="162"/>
    </row>
    <row r="427" spans="1:16" ht="19.5" customHeight="1">
      <c r="A427" s="228"/>
      <c r="B427" s="39"/>
      <c r="C427" s="847" t="s">
        <v>346</v>
      </c>
      <c r="D427" s="848"/>
      <c r="E427" s="848"/>
      <c r="F427" s="848"/>
      <c r="G427" s="849"/>
      <c r="H427" s="237">
        <f>H426+H419+H412+H398+H374</f>
        <v>1672</v>
      </c>
      <c r="I427" s="234" t="s">
        <v>368</v>
      </c>
      <c r="J427" s="191"/>
      <c r="K427" s="191"/>
      <c r="L427" s="102" t="s">
        <v>237</v>
      </c>
      <c r="N427" s="167"/>
      <c r="O427" s="162"/>
      <c r="P427" s="162"/>
    </row>
    <row r="428" spans="1:16" ht="19.5" customHeight="1">
      <c r="A428" s="279"/>
      <c r="B428" s="103"/>
      <c r="C428" s="384"/>
      <c r="D428" s="299"/>
      <c r="E428" s="295"/>
      <c r="F428" s="950" t="s">
        <v>10</v>
      </c>
      <c r="G428" s="922"/>
      <c r="H428" s="233">
        <v>1710</v>
      </c>
      <c r="I428" s="234" t="s">
        <v>368</v>
      </c>
      <c r="J428" s="359">
        <v>13</v>
      </c>
      <c r="K428" s="351">
        <f>J428*H428</f>
        <v>22230</v>
      </c>
      <c r="L428" s="102"/>
      <c r="N428" s="167"/>
      <c r="O428" s="162"/>
      <c r="P428" s="162"/>
    </row>
    <row r="429" spans="1:16" ht="123.75" customHeight="1">
      <c r="A429" s="292">
        <v>14</v>
      </c>
      <c r="B429" s="105" t="s">
        <v>329</v>
      </c>
      <c r="C429" s="378" t="s">
        <v>330</v>
      </c>
      <c r="D429" s="875" t="s">
        <v>425</v>
      </c>
      <c r="E429" s="876"/>
      <c r="F429" s="876"/>
      <c r="G429" s="877"/>
      <c r="H429" s="293">
        <f>H281+H282</f>
        <v>2983</v>
      </c>
      <c r="I429" s="237" t="s">
        <v>367</v>
      </c>
      <c r="J429" s="380">
        <v>130</v>
      </c>
      <c r="K429" s="385">
        <f>J429*H429</f>
        <v>387790</v>
      </c>
      <c r="L429" s="4"/>
      <c r="N429" s="167"/>
      <c r="O429" s="162"/>
      <c r="P429" s="162"/>
    </row>
    <row r="430" spans="1:16" ht="15.75">
      <c r="A430" s="231"/>
      <c r="B430" s="39"/>
      <c r="C430" s="30"/>
      <c r="D430" s="263"/>
      <c r="E430" s="290"/>
      <c r="F430" s="290"/>
      <c r="G430" s="291"/>
      <c r="H430" s="189"/>
      <c r="I430" s="229"/>
      <c r="J430" s="276"/>
      <c r="K430" s="219"/>
      <c r="L430" s="4"/>
      <c r="N430" s="167"/>
      <c r="O430" s="162"/>
      <c r="P430" s="162"/>
    </row>
    <row r="431" spans="1:16" ht="60">
      <c r="A431" s="231">
        <v>15</v>
      </c>
      <c r="B431" s="39" t="s">
        <v>333</v>
      </c>
      <c r="C431" s="30" t="s">
        <v>334</v>
      </c>
      <c r="D431" s="263"/>
      <c r="E431" s="290"/>
      <c r="F431" s="290"/>
      <c r="G431" s="291"/>
      <c r="H431" s="189"/>
      <c r="I431" s="229"/>
      <c r="J431" s="276"/>
      <c r="K431" s="219"/>
      <c r="L431" s="4"/>
      <c r="N431" s="167"/>
      <c r="O431" s="162"/>
      <c r="P431" s="162"/>
    </row>
    <row r="432" spans="1:16" ht="15.75">
      <c r="A432" s="386"/>
      <c r="B432" s="103"/>
      <c r="C432" s="104" t="s">
        <v>337</v>
      </c>
      <c r="D432" s="387"/>
      <c r="E432" s="388"/>
      <c r="F432" s="388"/>
      <c r="G432" s="389"/>
      <c r="H432" s="233">
        <f>H281</f>
        <v>715</v>
      </c>
      <c r="I432" s="234" t="s">
        <v>367</v>
      </c>
      <c r="J432" s="282">
        <v>136</v>
      </c>
      <c r="K432" s="296">
        <f>J432*H432</f>
        <v>97240</v>
      </c>
      <c r="L432" s="4"/>
      <c r="N432" s="167"/>
      <c r="O432" s="162"/>
      <c r="P432" s="162"/>
    </row>
    <row r="433" spans="1:16" ht="15.75">
      <c r="A433" s="228"/>
      <c r="B433" s="39"/>
      <c r="C433" s="30"/>
      <c r="D433" s="263"/>
      <c r="E433" s="290"/>
      <c r="F433" s="290"/>
      <c r="G433" s="291"/>
      <c r="H433" s="189"/>
      <c r="I433" s="229"/>
      <c r="J433" s="276"/>
      <c r="K433" s="219"/>
      <c r="L433" s="4"/>
      <c r="N433" s="167"/>
      <c r="O433" s="162"/>
      <c r="P433" s="162"/>
    </row>
    <row r="434" spans="1:16" ht="153" customHeight="1">
      <c r="A434" s="908">
        <v>16</v>
      </c>
      <c r="B434" s="915" t="s">
        <v>335</v>
      </c>
      <c r="C434" s="179" t="s">
        <v>336</v>
      </c>
      <c r="D434" s="931" t="s">
        <v>426</v>
      </c>
      <c r="E434" s="932"/>
      <c r="F434" s="932"/>
      <c r="G434" s="933"/>
      <c r="H434" s="233"/>
      <c r="I434" s="234"/>
      <c r="J434" s="276"/>
      <c r="K434" s="219"/>
      <c r="L434" s="154"/>
      <c r="N434" s="861"/>
      <c r="O434" s="862"/>
      <c r="P434" s="862"/>
    </row>
    <row r="435" spans="1:16" ht="15.75">
      <c r="A435" s="909"/>
      <c r="B435" s="930"/>
      <c r="C435" s="390" t="s">
        <v>338</v>
      </c>
      <c r="D435" s="934"/>
      <c r="E435" s="934"/>
      <c r="F435" s="934"/>
      <c r="G435" s="935"/>
      <c r="H435" s="233">
        <f>H283</f>
        <v>1881</v>
      </c>
      <c r="I435" s="234" t="s">
        <v>367</v>
      </c>
      <c r="J435" s="282">
        <v>205</v>
      </c>
      <c r="K435" s="296">
        <f>J435*H435</f>
        <v>385605</v>
      </c>
      <c r="L435" s="154"/>
      <c r="N435" s="168"/>
      <c r="O435" s="169"/>
      <c r="P435" s="169"/>
    </row>
    <row r="436" spans="1:16" ht="122.25" customHeight="1">
      <c r="A436" s="292">
        <v>17</v>
      </c>
      <c r="B436" s="105" t="s">
        <v>143</v>
      </c>
      <c r="C436" s="106" t="s">
        <v>144</v>
      </c>
      <c r="D436" s="945" t="s">
        <v>427</v>
      </c>
      <c r="E436" s="946"/>
      <c r="F436" s="946"/>
      <c r="G436" s="947"/>
      <c r="H436" s="293">
        <f>H428</f>
        <v>1710</v>
      </c>
      <c r="I436" s="237" t="s">
        <v>367</v>
      </c>
      <c r="J436" s="380">
        <v>95</v>
      </c>
      <c r="K436" s="385">
        <f>J436*H436</f>
        <v>162450</v>
      </c>
      <c r="L436" s="154"/>
    </row>
    <row r="437" spans="1:16" ht="115.5" customHeight="1">
      <c r="A437" s="231">
        <v>18</v>
      </c>
      <c r="B437" s="294" t="s">
        <v>5</v>
      </c>
      <c r="C437" s="24" t="s">
        <v>52</v>
      </c>
      <c r="D437" s="34"/>
      <c r="E437" s="35"/>
      <c r="F437" s="36"/>
      <c r="G437" s="35"/>
      <c r="H437" s="193"/>
      <c r="I437" s="229"/>
      <c r="J437" s="191"/>
      <c r="K437" s="191"/>
    </row>
    <row r="438" spans="1:16">
      <c r="A438" s="231"/>
      <c r="B438" s="294"/>
      <c r="C438" s="33" t="s">
        <v>339</v>
      </c>
      <c r="D438" s="34"/>
      <c r="E438" s="35"/>
      <c r="F438" s="36"/>
      <c r="G438" s="35"/>
      <c r="H438" s="193"/>
      <c r="I438" s="229"/>
      <c r="J438" s="191"/>
      <c r="K438" s="191"/>
    </row>
    <row r="439" spans="1:16" ht="36" customHeight="1">
      <c r="A439" s="228"/>
      <c r="B439" s="13"/>
      <c r="C439" s="29" t="s">
        <v>400</v>
      </c>
      <c r="D439" s="34">
        <v>20</v>
      </c>
      <c r="E439" s="35">
        <v>1</v>
      </c>
      <c r="F439" s="36">
        <v>1</v>
      </c>
      <c r="G439" s="35">
        <v>0.2</v>
      </c>
      <c r="H439" s="193">
        <f>G439*F439*E439*D439</f>
        <v>4</v>
      </c>
      <c r="I439" s="185" t="s">
        <v>8</v>
      </c>
      <c r="J439" s="151"/>
      <c r="K439" s="151"/>
      <c r="L439" s="154">
        <v>7945</v>
      </c>
    </row>
    <row r="440" spans="1:16" ht="30.75" customHeight="1">
      <c r="A440" s="228"/>
      <c r="B440" s="13"/>
      <c r="C440" s="29" t="s">
        <v>401</v>
      </c>
      <c r="D440" s="34">
        <v>20</v>
      </c>
      <c r="E440" s="35">
        <v>0.5</v>
      </c>
      <c r="F440" s="36">
        <v>0.5</v>
      </c>
      <c r="G440" s="35">
        <v>1.2</v>
      </c>
      <c r="H440" s="219">
        <f>G440*F440*E440*D440</f>
        <v>6</v>
      </c>
      <c r="I440" s="275" t="s">
        <v>8</v>
      </c>
      <c r="J440" s="151"/>
      <c r="K440" s="151"/>
    </row>
    <row r="441" spans="1:16" ht="20.100000000000001" customHeight="1">
      <c r="A441" s="228"/>
      <c r="B441" s="302"/>
      <c r="C441" s="29"/>
      <c r="D441" s="34"/>
      <c r="E441" s="35"/>
      <c r="F441" s="858" t="s">
        <v>43</v>
      </c>
      <c r="G441" s="858"/>
      <c r="H441" s="237">
        <f>SUM(H439:H440)</f>
        <v>10</v>
      </c>
      <c r="I441" s="229" t="s">
        <v>8</v>
      </c>
      <c r="J441" s="191"/>
      <c r="K441" s="191"/>
    </row>
    <row r="442" spans="1:16" ht="20.100000000000001" customHeight="1">
      <c r="A442" s="279"/>
      <c r="B442" s="297"/>
      <c r="C442" s="298"/>
      <c r="D442" s="299"/>
      <c r="E442" s="295"/>
      <c r="F442" s="300"/>
      <c r="G442" s="301" t="s">
        <v>10</v>
      </c>
      <c r="H442" s="233">
        <v>10</v>
      </c>
      <c r="I442" s="234" t="s">
        <v>8</v>
      </c>
      <c r="J442" s="359"/>
      <c r="K442" s="359"/>
    </row>
    <row r="443" spans="1:16" ht="72" customHeight="1">
      <c r="A443" s="231">
        <v>19</v>
      </c>
      <c r="B443" s="294" t="s">
        <v>0</v>
      </c>
      <c r="C443" s="24" t="s">
        <v>50</v>
      </c>
      <c r="D443" s="34"/>
      <c r="E443" s="35"/>
      <c r="F443" s="36"/>
      <c r="G443" s="283"/>
      <c r="H443" s="189"/>
      <c r="I443" s="229"/>
      <c r="J443" s="191"/>
      <c r="K443" s="191"/>
    </row>
    <row r="444" spans="1:16" ht="20.100000000000001" customHeight="1">
      <c r="A444" s="228"/>
      <c r="B444" s="302"/>
      <c r="C444" s="33" t="s">
        <v>1</v>
      </c>
      <c r="D444" s="34"/>
      <c r="E444" s="35"/>
      <c r="F444" s="36"/>
      <c r="G444" s="283"/>
      <c r="H444" s="189"/>
      <c r="I444" s="229"/>
      <c r="J444" s="191"/>
      <c r="K444" s="191"/>
    </row>
    <row r="445" spans="1:16" ht="20.100000000000001" customHeight="1">
      <c r="A445" s="228"/>
      <c r="B445" s="13"/>
      <c r="C445" s="29" t="s">
        <v>53</v>
      </c>
      <c r="D445" s="34"/>
      <c r="E445" s="35"/>
      <c r="F445" s="36"/>
      <c r="G445" s="283"/>
      <c r="H445" s="189"/>
      <c r="I445" s="229"/>
      <c r="J445" s="191"/>
      <c r="K445" s="191"/>
    </row>
    <row r="446" spans="1:16" ht="20.100000000000001" customHeight="1">
      <c r="A446" s="228"/>
      <c r="B446" s="13"/>
      <c r="C446" s="26" t="s">
        <v>340</v>
      </c>
      <c r="D446" s="34"/>
      <c r="E446" s="35"/>
      <c r="F446" s="13"/>
      <c r="G446" s="35"/>
      <c r="H446" s="193">
        <f>H442*70</f>
        <v>700</v>
      </c>
      <c r="I446" s="229"/>
      <c r="J446" s="191"/>
      <c r="K446" s="191"/>
      <c r="L446" s="154"/>
    </row>
    <row r="447" spans="1:16" ht="28.5" customHeight="1">
      <c r="A447" s="228"/>
      <c r="B447" s="13"/>
      <c r="C447" s="29" t="s">
        <v>31</v>
      </c>
      <c r="D447" s="34"/>
      <c r="E447" s="35"/>
      <c r="F447" s="948" t="s">
        <v>54</v>
      </c>
      <c r="G447" s="949"/>
      <c r="H447" s="233">
        <f>SUM(H446)</f>
        <v>700</v>
      </c>
      <c r="I447" s="234" t="s">
        <v>14</v>
      </c>
      <c r="J447" s="191"/>
      <c r="K447" s="191"/>
    </row>
    <row r="448" spans="1:16" ht="20.100000000000001" customHeight="1">
      <c r="A448" s="303"/>
      <c r="B448" s="13"/>
      <c r="C448" s="26"/>
      <c r="D448" s="34"/>
      <c r="E448" s="35"/>
      <c r="F448" s="36"/>
      <c r="G448" s="283"/>
      <c r="H448" s="189">
        <f>H447/1000</f>
        <v>0.7</v>
      </c>
      <c r="I448" s="229" t="s">
        <v>15</v>
      </c>
      <c r="J448" s="191"/>
      <c r="K448" s="191"/>
    </row>
    <row r="449" spans="1:12" ht="20.100000000000001" customHeight="1">
      <c r="A449" s="330"/>
      <c r="B449" s="297"/>
      <c r="C449" s="391"/>
      <c r="D449" s="299"/>
      <c r="E449" s="295"/>
      <c r="F449" s="327"/>
      <c r="G449" s="331" t="s">
        <v>10</v>
      </c>
      <c r="H449" s="233">
        <v>0.7</v>
      </c>
      <c r="I449" s="234" t="s">
        <v>15</v>
      </c>
      <c r="J449" s="359">
        <v>79450</v>
      </c>
      <c r="K449" s="296">
        <f>J449*H449</f>
        <v>55615</v>
      </c>
    </row>
    <row r="450" spans="1:12" ht="20.100000000000001" customHeight="1">
      <c r="A450" s="228"/>
      <c r="B450" s="41"/>
      <c r="C450" s="322"/>
      <c r="D450" s="13"/>
      <c r="E450" s="320"/>
      <c r="F450" s="13"/>
      <c r="G450" s="320"/>
      <c r="H450" s="332"/>
      <c r="I450" s="229"/>
      <c r="J450" s="191"/>
      <c r="K450" s="191"/>
    </row>
    <row r="451" spans="1:12" ht="258" customHeight="1">
      <c r="A451" s="231">
        <v>20</v>
      </c>
      <c r="B451" s="39" t="s">
        <v>342</v>
      </c>
      <c r="C451" s="24" t="s">
        <v>33</v>
      </c>
      <c r="D451" s="13"/>
      <c r="E451" s="320"/>
      <c r="F451" s="13"/>
      <c r="G451" s="320"/>
      <c r="H451" s="332"/>
      <c r="I451" s="228"/>
      <c r="J451" s="333"/>
      <c r="K451" s="333"/>
    </row>
    <row r="452" spans="1:12">
      <c r="A452" s="266"/>
      <c r="B452" s="13"/>
      <c r="C452" s="306" t="s">
        <v>388</v>
      </c>
      <c r="D452" s="34"/>
      <c r="E452" s="35"/>
      <c r="F452" s="13"/>
      <c r="G452" s="35"/>
      <c r="H452" s="193"/>
      <c r="I452" s="228"/>
      <c r="J452" s="333"/>
      <c r="K452" s="333"/>
    </row>
    <row r="453" spans="1:12">
      <c r="A453" s="266"/>
      <c r="B453" s="13"/>
      <c r="C453" s="26" t="s">
        <v>71</v>
      </c>
      <c r="D453" s="34">
        <v>2</v>
      </c>
      <c r="E453" s="35">
        <v>11</v>
      </c>
      <c r="F453" s="13"/>
      <c r="G453" s="35">
        <v>3.6</v>
      </c>
      <c r="H453" s="193">
        <f>G453*E453*D453</f>
        <v>79.2</v>
      </c>
      <c r="I453" s="185" t="s">
        <v>9</v>
      </c>
      <c r="J453" s="227"/>
      <c r="K453" s="151"/>
    </row>
    <row r="454" spans="1:12">
      <c r="A454" s="266"/>
      <c r="B454" s="13"/>
      <c r="C454" s="25" t="s">
        <v>341</v>
      </c>
      <c r="D454" s="34">
        <v>2</v>
      </c>
      <c r="E454" s="35">
        <v>11</v>
      </c>
      <c r="F454" s="36"/>
      <c r="G454" s="295">
        <v>0.5</v>
      </c>
      <c r="H454" s="193">
        <f>G454*E454*D454</f>
        <v>11</v>
      </c>
      <c r="I454" s="228"/>
      <c r="J454" s="333"/>
      <c r="K454" s="333"/>
    </row>
    <row r="455" spans="1:12">
      <c r="A455" s="266"/>
      <c r="B455" s="302"/>
      <c r="C455" s="29"/>
      <c r="D455" s="34"/>
      <c r="E455" s="35"/>
      <c r="F455" s="36"/>
      <c r="G455" s="283" t="s">
        <v>43</v>
      </c>
      <c r="H455" s="189">
        <f>SUM(H452:H454)</f>
        <v>90.2</v>
      </c>
      <c r="I455" s="229" t="s">
        <v>9</v>
      </c>
      <c r="J455" s="191"/>
      <c r="K455" s="191"/>
    </row>
    <row r="456" spans="1:12">
      <c r="A456" s="334"/>
      <c r="B456" s="297"/>
      <c r="C456" s="328"/>
      <c r="D456" s="299"/>
      <c r="E456" s="295"/>
      <c r="F456" s="327"/>
      <c r="G456" s="301" t="s">
        <v>10</v>
      </c>
      <c r="H456" s="233">
        <f>ROUNDUP(H455,0)</f>
        <v>91</v>
      </c>
      <c r="I456" s="234" t="s">
        <v>9</v>
      </c>
      <c r="J456" s="351">
        <v>796</v>
      </c>
      <c r="K456" s="351">
        <f>J456*H456</f>
        <v>72436</v>
      </c>
    </row>
    <row r="457" spans="1:12">
      <c r="A457" s="400"/>
      <c r="B457" s="401"/>
      <c r="C457" s="402"/>
      <c r="D457" s="171"/>
      <c r="E457" s="399"/>
      <c r="F457" s="403"/>
      <c r="G457" s="404"/>
      <c r="H457" s="190"/>
      <c r="I457" s="190"/>
      <c r="J457" s="405"/>
      <c r="K457" s="199"/>
    </row>
    <row r="458" spans="1:12" ht="78.75" customHeight="1">
      <c r="A458" s="908">
        <v>21</v>
      </c>
      <c r="B458" s="39" t="s">
        <v>4</v>
      </c>
      <c r="C458" s="31" t="s">
        <v>49</v>
      </c>
      <c r="D458" s="943"/>
      <c r="E458" s="944"/>
      <c r="F458" s="944"/>
      <c r="G458" s="35"/>
      <c r="H458" s="193"/>
      <c r="I458" s="185"/>
      <c r="J458" s="151" t="s">
        <v>281</v>
      </c>
      <c r="K458" s="151"/>
      <c r="L458" s="154"/>
    </row>
    <row r="459" spans="1:12">
      <c r="A459" s="909"/>
      <c r="B459" s="103"/>
      <c r="C459" s="306" t="s">
        <v>388</v>
      </c>
      <c r="D459" s="299">
        <v>2</v>
      </c>
      <c r="E459" s="295">
        <v>8</v>
      </c>
      <c r="F459" s="327"/>
      <c r="G459" s="295"/>
      <c r="H459" s="275">
        <f>E459*D459</f>
        <v>16</v>
      </c>
      <c r="I459" s="275" t="s">
        <v>3</v>
      </c>
      <c r="J459" s="351">
        <v>750</v>
      </c>
      <c r="K459" s="351">
        <f>J459*H459</f>
        <v>12000</v>
      </c>
    </row>
    <row r="460" spans="1:12">
      <c r="A460" s="303"/>
      <c r="B460" s="39"/>
      <c r="C460" s="31"/>
      <c r="D460" s="171"/>
      <c r="E460" s="172"/>
      <c r="F460" s="172"/>
      <c r="G460" s="283"/>
      <c r="H460" s="189"/>
      <c r="I460" s="229"/>
      <c r="J460" s="191"/>
      <c r="K460" s="191"/>
    </row>
    <row r="461" spans="1:12" ht="102.75" customHeight="1">
      <c r="A461" s="908">
        <v>22</v>
      </c>
      <c r="B461" s="915" t="s">
        <v>345</v>
      </c>
      <c r="C461" s="30" t="s">
        <v>343</v>
      </c>
      <c r="D461" s="171"/>
      <c r="E461" s="399"/>
      <c r="F461" s="399"/>
      <c r="G461" s="331"/>
      <c r="H461" s="417"/>
      <c r="I461" s="234"/>
      <c r="J461" s="359"/>
      <c r="K461" s="359"/>
    </row>
    <row r="462" spans="1:12" ht="30">
      <c r="A462" s="908"/>
      <c r="B462" s="915"/>
      <c r="C462" s="31" t="s">
        <v>344</v>
      </c>
      <c r="D462" s="34">
        <v>100</v>
      </c>
      <c r="E462" s="35">
        <v>3</v>
      </c>
      <c r="F462" s="34"/>
      <c r="G462" s="418"/>
      <c r="H462" s="233">
        <v>300</v>
      </c>
      <c r="I462" s="234" t="s">
        <v>3</v>
      </c>
      <c r="J462" s="282">
        <v>21</v>
      </c>
      <c r="K462" s="296">
        <f>J462*H462</f>
        <v>6300</v>
      </c>
    </row>
    <row r="463" spans="1:12" ht="15.75">
      <c r="A463" s="909"/>
      <c r="B463" s="930"/>
      <c r="C463" s="32"/>
      <c r="D463" s="335"/>
      <c r="E463" s="336"/>
      <c r="F463" s="336"/>
      <c r="G463" s="413"/>
      <c r="H463" s="414"/>
      <c r="I463" s="415"/>
      <c r="J463" s="416"/>
      <c r="K463" s="412"/>
    </row>
    <row r="464" spans="1:12" ht="105">
      <c r="A464" s="908">
        <v>23</v>
      </c>
      <c r="B464" s="915" t="s">
        <v>16</v>
      </c>
      <c r="C464" s="31" t="s">
        <v>48</v>
      </c>
      <c r="D464" s="34"/>
      <c r="E464" s="35"/>
      <c r="F464" s="36"/>
      <c r="G464" s="35"/>
      <c r="H464" s="193"/>
      <c r="I464" s="229"/>
      <c r="J464" s="191"/>
      <c r="K464" s="191"/>
    </row>
    <row r="465" spans="1:12" ht="29.25" customHeight="1">
      <c r="A465" s="908"/>
      <c r="B465" s="915"/>
      <c r="C465" s="338" t="s">
        <v>402</v>
      </c>
      <c r="D465" s="34"/>
      <c r="E465" s="35"/>
      <c r="F465" s="36"/>
      <c r="G465" s="320"/>
      <c r="H465" s="332"/>
      <c r="I465" s="228"/>
      <c r="J465" s="333"/>
      <c r="K465" s="333"/>
    </row>
    <row r="466" spans="1:12" ht="16.5" customHeight="1">
      <c r="A466" s="908"/>
      <c r="B466" s="915"/>
      <c r="C466" s="422" t="s">
        <v>403</v>
      </c>
      <c r="D466" s="34"/>
      <c r="E466" s="35"/>
      <c r="F466" s="36"/>
      <c r="G466" s="35"/>
      <c r="H466" s="193"/>
      <c r="I466" s="229"/>
      <c r="J466" s="191"/>
      <c r="K466" s="191"/>
      <c r="L466" s="154"/>
    </row>
    <row r="467" spans="1:12" ht="16.5" customHeight="1">
      <c r="A467" s="908"/>
      <c r="B467" s="915"/>
      <c r="C467" s="422" t="s">
        <v>406</v>
      </c>
      <c r="D467" s="34">
        <v>4</v>
      </c>
      <c r="E467" s="35">
        <v>2</v>
      </c>
      <c r="F467" s="36">
        <v>4</v>
      </c>
      <c r="G467" s="35"/>
      <c r="H467" s="193">
        <f>F467*E467*D467</f>
        <v>32</v>
      </c>
      <c r="I467" s="229"/>
      <c r="J467" s="191"/>
      <c r="K467" s="191"/>
      <c r="L467" s="154"/>
    </row>
    <row r="468" spans="1:12" ht="16.5" customHeight="1">
      <c r="A468" s="908"/>
      <c r="B468" s="915"/>
      <c r="C468" s="422" t="s">
        <v>407</v>
      </c>
      <c r="D468" s="34">
        <v>4</v>
      </c>
      <c r="E468" s="35">
        <v>2</v>
      </c>
      <c r="F468" s="36">
        <v>9</v>
      </c>
      <c r="G468" s="35"/>
      <c r="H468" s="193">
        <f>F468*E468*D468</f>
        <v>72</v>
      </c>
      <c r="I468" s="229"/>
      <c r="J468" s="191"/>
      <c r="K468" s="191"/>
      <c r="L468" s="154"/>
    </row>
    <row r="469" spans="1:12" ht="16.5" customHeight="1">
      <c r="A469" s="908"/>
      <c r="B469" s="915"/>
      <c r="C469" s="422" t="s">
        <v>404</v>
      </c>
      <c r="D469" s="34"/>
      <c r="E469" s="35"/>
      <c r="F469" s="36"/>
      <c r="G469" s="35"/>
      <c r="H469" s="193"/>
      <c r="I469" s="185"/>
      <c r="J469" s="151"/>
      <c r="K469" s="151"/>
    </row>
    <row r="470" spans="1:12" ht="16.5" customHeight="1">
      <c r="A470" s="908"/>
      <c r="B470" s="915"/>
      <c r="C470" s="422" t="s">
        <v>408</v>
      </c>
      <c r="D470" s="34">
        <v>4</v>
      </c>
      <c r="E470" s="35">
        <v>4</v>
      </c>
      <c r="F470" s="36"/>
      <c r="G470" s="35"/>
      <c r="H470" s="193">
        <f>E470*D470</f>
        <v>16</v>
      </c>
      <c r="I470" s="185"/>
      <c r="J470" s="151"/>
      <c r="K470" s="151"/>
    </row>
    <row r="471" spans="1:12" ht="16.5" customHeight="1">
      <c r="A471" s="908"/>
      <c r="B471" s="915"/>
      <c r="C471" s="422" t="s">
        <v>405</v>
      </c>
      <c r="D471" s="34">
        <v>4</v>
      </c>
      <c r="E471" s="35">
        <v>9</v>
      </c>
      <c r="F471" s="36"/>
      <c r="G471" s="35"/>
      <c r="H471" s="193">
        <f>E471*D471</f>
        <v>36</v>
      </c>
      <c r="I471" s="275"/>
      <c r="J471" s="151"/>
      <c r="K471" s="151"/>
    </row>
    <row r="472" spans="1:12">
      <c r="A472" s="908"/>
      <c r="B472" s="915"/>
      <c r="C472" s="320"/>
      <c r="D472" s="34"/>
      <c r="E472" s="35"/>
      <c r="F472" s="36"/>
      <c r="G472" s="283" t="s">
        <v>43</v>
      </c>
      <c r="H472" s="189">
        <f>SUM(H466:H471)</f>
        <v>156</v>
      </c>
      <c r="I472" s="229" t="s">
        <v>3</v>
      </c>
      <c r="J472" s="191"/>
      <c r="K472" s="191"/>
    </row>
    <row r="473" spans="1:12" ht="16.5" customHeight="1">
      <c r="A473" s="908"/>
      <c r="B473" s="915"/>
      <c r="C473" s="31"/>
      <c r="D473" s="34"/>
      <c r="E473" s="35"/>
      <c r="F473" s="36"/>
      <c r="G473" s="283" t="s">
        <v>10</v>
      </c>
      <c r="H473" s="189">
        <v>160</v>
      </c>
      <c r="I473" s="229" t="s">
        <v>3</v>
      </c>
      <c r="J473" s="191">
        <v>290</v>
      </c>
      <c r="K473" s="219">
        <f>J473*H473</f>
        <v>46400</v>
      </c>
    </row>
    <row r="474" spans="1:12" ht="16.5" customHeight="1">
      <c r="A474" s="231"/>
      <c r="B474" s="39"/>
      <c r="C474" s="31"/>
      <c r="D474" s="34"/>
      <c r="E474" s="35"/>
      <c r="F474" s="36"/>
      <c r="G474" s="283"/>
      <c r="H474" s="189"/>
      <c r="I474" s="229"/>
      <c r="J474" s="191"/>
      <c r="K474" s="219"/>
    </row>
    <row r="475" spans="1:12" ht="16.5" customHeight="1">
      <c r="A475" s="386"/>
      <c r="B475" s="103"/>
      <c r="C475" s="32"/>
      <c r="D475" s="299"/>
      <c r="E475" s="295"/>
      <c r="F475" s="327"/>
      <c r="G475" s="331"/>
      <c r="H475" s="233"/>
      <c r="I475" s="234"/>
      <c r="J475" s="359"/>
      <c r="K475" s="296"/>
    </row>
    <row r="476" spans="1:12" ht="150.75" customHeight="1">
      <c r="A476" s="231">
        <v>24</v>
      </c>
      <c r="B476" s="39" t="s">
        <v>410</v>
      </c>
      <c r="C476" s="436" t="s">
        <v>409</v>
      </c>
      <c r="D476" s="207"/>
      <c r="E476" s="35"/>
      <c r="F476" s="36"/>
      <c r="G476" s="283"/>
      <c r="H476" s="189"/>
      <c r="I476" s="229"/>
      <c r="J476" s="227"/>
      <c r="K476" s="227"/>
    </row>
    <row r="477" spans="1:12" ht="16.5" customHeight="1">
      <c r="A477" s="231"/>
      <c r="B477" s="39"/>
      <c r="C477" s="31" t="s">
        <v>288</v>
      </c>
      <c r="D477" s="34"/>
      <c r="E477" s="35"/>
      <c r="F477" s="36"/>
      <c r="G477" s="283"/>
      <c r="H477" s="189"/>
      <c r="I477" s="229"/>
      <c r="J477" s="191"/>
      <c r="K477" s="219"/>
    </row>
    <row r="478" spans="1:12" ht="16.5" customHeight="1">
      <c r="A478" s="231"/>
      <c r="B478" s="39"/>
      <c r="C478" s="31" t="s">
        <v>349</v>
      </c>
      <c r="D478" s="34"/>
      <c r="E478" s="35"/>
      <c r="F478" s="36"/>
      <c r="G478" s="283"/>
      <c r="H478" s="189"/>
      <c r="I478" s="229"/>
      <c r="J478" s="191"/>
      <c r="K478" s="219"/>
    </row>
    <row r="479" spans="1:12" ht="33" customHeight="1">
      <c r="A479" s="231"/>
      <c r="B479" s="39"/>
      <c r="C479" s="31" t="s">
        <v>399</v>
      </c>
      <c r="D479" s="34">
        <v>4</v>
      </c>
      <c r="E479" s="35">
        <v>1.9</v>
      </c>
      <c r="F479" s="205">
        <v>1.07</v>
      </c>
      <c r="G479" s="283"/>
      <c r="H479" s="189">
        <f>F479*E479*D479</f>
        <v>8.1319999999999997</v>
      </c>
      <c r="I479" s="229" t="s">
        <v>368</v>
      </c>
      <c r="J479" s="191"/>
      <c r="K479" s="219"/>
    </row>
    <row r="480" spans="1:12" ht="16.5" customHeight="1">
      <c r="A480" s="231"/>
      <c r="B480" s="39"/>
      <c r="C480" s="31" t="s">
        <v>362</v>
      </c>
      <c r="D480" s="34">
        <v>4</v>
      </c>
      <c r="E480" s="35">
        <v>1.08</v>
      </c>
      <c r="F480" s="205">
        <v>0.95</v>
      </c>
      <c r="G480" s="283"/>
      <c r="H480" s="229">
        <f t="shared" ref="H480:H482" si="12">F480*E480*D480</f>
        <v>4.1040000000000001</v>
      </c>
      <c r="I480" s="229" t="s">
        <v>368</v>
      </c>
      <c r="J480" s="191"/>
      <c r="K480" s="219"/>
    </row>
    <row r="481" spans="1:11" ht="16.5" customHeight="1">
      <c r="A481" s="231"/>
      <c r="B481" s="39"/>
      <c r="C481" s="31" t="s">
        <v>363</v>
      </c>
      <c r="D481" s="34">
        <v>4</v>
      </c>
      <c r="E481" s="35">
        <v>1.22</v>
      </c>
      <c r="F481" s="205">
        <v>1.22</v>
      </c>
      <c r="G481" s="283"/>
      <c r="H481" s="229">
        <f t="shared" si="12"/>
        <v>5.9535999999999998</v>
      </c>
      <c r="I481" s="229" t="s">
        <v>368</v>
      </c>
      <c r="J481" s="191"/>
      <c r="K481" s="219"/>
    </row>
    <row r="482" spans="1:11" ht="16.5" customHeight="1">
      <c r="A482" s="231"/>
      <c r="B482" s="39"/>
      <c r="C482" s="31" t="s">
        <v>364</v>
      </c>
      <c r="D482" s="34">
        <v>4</v>
      </c>
      <c r="E482" s="35">
        <v>0.95</v>
      </c>
      <c r="F482" s="205">
        <v>1.22</v>
      </c>
      <c r="G482" s="283"/>
      <c r="H482" s="229">
        <f t="shared" si="12"/>
        <v>4.6360000000000001</v>
      </c>
      <c r="I482" s="229" t="s">
        <v>368</v>
      </c>
      <c r="J482" s="191"/>
      <c r="K482" s="219"/>
    </row>
    <row r="483" spans="1:11" ht="16.5" customHeight="1">
      <c r="A483" s="231"/>
      <c r="B483" s="39"/>
      <c r="C483" s="31"/>
      <c r="D483" s="34"/>
      <c r="E483" s="35"/>
      <c r="F483" s="858" t="s">
        <v>43</v>
      </c>
      <c r="G483" s="858"/>
      <c r="H483" s="237">
        <f>SUM(H479:H482)</f>
        <v>22.825599999999998</v>
      </c>
      <c r="I483" s="237" t="s">
        <v>368</v>
      </c>
      <c r="J483" s="191"/>
      <c r="K483" s="219"/>
    </row>
    <row r="484" spans="1:11" ht="16.5" customHeight="1">
      <c r="A484" s="231"/>
      <c r="B484" s="39"/>
      <c r="C484" s="31"/>
      <c r="D484" s="34"/>
      <c r="E484" s="35"/>
      <c r="F484" s="858" t="s">
        <v>10</v>
      </c>
      <c r="G484" s="858"/>
      <c r="H484" s="237">
        <f>ROUNDUP(H483,1)</f>
        <v>22.900000000000002</v>
      </c>
      <c r="I484" s="237" t="s">
        <v>368</v>
      </c>
      <c r="J484" s="276">
        <v>1769</v>
      </c>
      <c r="K484" s="219">
        <f>J484*H484</f>
        <v>40510.100000000006</v>
      </c>
    </row>
    <row r="485" spans="1:11" ht="16.5" customHeight="1">
      <c r="A485" s="386"/>
      <c r="B485" s="103"/>
      <c r="C485" s="32"/>
      <c r="D485" s="299"/>
      <c r="E485" s="295"/>
      <c r="F485" s="327"/>
      <c r="G485" s="331"/>
      <c r="H485" s="233"/>
      <c r="I485" s="234"/>
      <c r="J485" s="359"/>
      <c r="K485" s="296"/>
    </row>
    <row r="486" spans="1:11" ht="210">
      <c r="A486" s="957">
        <v>25</v>
      </c>
      <c r="B486" s="955" t="s">
        <v>411</v>
      </c>
      <c r="C486" s="31" t="s">
        <v>412</v>
      </c>
      <c r="D486" s="207"/>
      <c r="E486" s="35"/>
      <c r="F486" s="36"/>
      <c r="G486" s="283"/>
      <c r="H486" s="424"/>
      <c r="I486" s="229"/>
      <c r="J486" s="276"/>
      <c r="K486" s="219"/>
    </row>
    <row r="487" spans="1:11" ht="16.5" customHeight="1">
      <c r="A487" s="958"/>
      <c r="B487" s="956"/>
      <c r="C487" s="31" t="s">
        <v>288</v>
      </c>
      <c r="D487" s="34"/>
      <c r="E487" s="35"/>
      <c r="F487" s="36"/>
      <c r="G487" s="283"/>
      <c r="H487" s="424"/>
      <c r="I487" s="229"/>
      <c r="J487" s="191"/>
      <c r="K487" s="219"/>
    </row>
    <row r="488" spans="1:11" ht="16.5" customHeight="1">
      <c r="A488" s="958"/>
      <c r="B488" s="423"/>
      <c r="C488" s="31" t="s">
        <v>413</v>
      </c>
      <c r="D488" s="34">
        <v>16</v>
      </c>
      <c r="E488" s="35"/>
      <c r="F488" s="36"/>
      <c r="G488" s="283"/>
      <c r="H488" s="424"/>
      <c r="I488" s="229"/>
      <c r="J488" s="191">
        <v>2125</v>
      </c>
      <c r="K488" s="219">
        <f>J488*D488</f>
        <v>34000</v>
      </c>
    </row>
    <row r="489" spans="1:11" ht="16.5" customHeight="1">
      <c r="A489" s="386"/>
      <c r="B489" s="103"/>
      <c r="C489" s="32"/>
      <c r="D489" s="299"/>
      <c r="E489" s="295"/>
      <c r="F489" s="327"/>
      <c r="G489" s="331"/>
      <c r="H489" s="233"/>
      <c r="I489" s="234"/>
      <c r="J489" s="359"/>
      <c r="K489" s="296"/>
    </row>
    <row r="490" spans="1:11" ht="93.75" customHeight="1">
      <c r="A490" s="231">
        <v>26</v>
      </c>
      <c r="B490" s="39" t="s">
        <v>353</v>
      </c>
      <c r="C490" s="31" t="s">
        <v>352</v>
      </c>
      <c r="D490" s="34"/>
      <c r="E490" s="35"/>
      <c r="F490" s="36"/>
      <c r="G490" s="283"/>
      <c r="H490" s="189"/>
      <c r="I490" s="229"/>
      <c r="J490" s="191"/>
      <c r="K490" s="219"/>
    </row>
    <row r="491" spans="1:11" ht="16.5" customHeight="1">
      <c r="A491" s="231"/>
      <c r="B491" s="39"/>
      <c r="C491" s="31" t="s">
        <v>288</v>
      </c>
      <c r="D491" s="34"/>
      <c r="E491" s="35"/>
      <c r="F491" s="36"/>
      <c r="G491" s="283"/>
      <c r="H491" s="189"/>
      <c r="I491" s="229"/>
      <c r="J491" s="191"/>
      <c r="K491" s="219"/>
    </row>
    <row r="492" spans="1:11" ht="16.5" customHeight="1">
      <c r="A492" s="386"/>
      <c r="B492" s="103"/>
      <c r="C492" s="32" t="s">
        <v>354</v>
      </c>
      <c r="D492" s="299">
        <v>10</v>
      </c>
      <c r="E492" s="295"/>
      <c r="F492" s="327"/>
      <c r="G492" s="331"/>
      <c r="H492" s="233"/>
      <c r="I492" s="234"/>
      <c r="J492" s="359">
        <v>2625</v>
      </c>
      <c r="K492" s="296">
        <f>J492*D492</f>
        <v>26250</v>
      </c>
    </row>
    <row r="493" spans="1:11" ht="16.5" customHeight="1">
      <c r="A493" s="231"/>
      <c r="B493" s="39"/>
      <c r="C493" s="31"/>
      <c r="D493" s="34"/>
      <c r="E493" s="35"/>
      <c r="F493" s="36"/>
      <c r="G493" s="283"/>
      <c r="H493" s="189"/>
      <c r="I493" s="229"/>
      <c r="J493" s="191"/>
      <c r="K493" s="219"/>
    </row>
    <row r="494" spans="1:11" ht="79.5" customHeight="1">
      <c r="A494" s="231">
        <v>27</v>
      </c>
      <c r="B494" s="39" t="s">
        <v>355</v>
      </c>
      <c r="C494" s="31" t="s">
        <v>356</v>
      </c>
      <c r="D494" s="34"/>
      <c r="E494" s="35"/>
      <c r="F494" s="36"/>
      <c r="G494" s="283"/>
      <c r="H494" s="189"/>
      <c r="I494" s="229"/>
      <c r="J494" s="191"/>
      <c r="K494" s="219"/>
    </row>
    <row r="495" spans="1:11" ht="16.5" customHeight="1">
      <c r="A495" s="231"/>
      <c r="B495" s="39"/>
      <c r="C495" s="31" t="s">
        <v>288</v>
      </c>
      <c r="D495" s="34"/>
      <c r="E495" s="35"/>
      <c r="F495" s="36"/>
      <c r="G495" s="283"/>
      <c r="H495" s="189"/>
      <c r="I495" s="229"/>
      <c r="J495" s="191"/>
      <c r="K495" s="219"/>
    </row>
    <row r="496" spans="1:11" ht="16.5" customHeight="1">
      <c r="A496" s="231"/>
      <c r="B496" s="39"/>
      <c r="C496" s="31" t="s">
        <v>360</v>
      </c>
      <c r="D496" s="34">
        <v>6</v>
      </c>
      <c r="E496" s="35"/>
      <c r="F496" s="36"/>
      <c r="G496" s="283"/>
      <c r="H496" s="189"/>
      <c r="I496" s="229"/>
      <c r="J496" s="191">
        <v>4300</v>
      </c>
      <c r="K496" s="219">
        <f>J496*D496</f>
        <v>25800</v>
      </c>
    </row>
    <row r="497" spans="1:12" ht="16.5" customHeight="1">
      <c r="A497" s="386"/>
      <c r="B497" s="103"/>
      <c r="C497" s="32"/>
      <c r="D497" s="299"/>
      <c r="E497" s="295"/>
      <c r="F497" s="327"/>
      <c r="G497" s="331"/>
      <c r="H497" s="233"/>
      <c r="I497" s="234"/>
      <c r="J497" s="359"/>
      <c r="K497" s="296"/>
    </row>
    <row r="498" spans="1:12" ht="94.5" customHeight="1">
      <c r="A498" s="231">
        <v>28</v>
      </c>
      <c r="B498" s="39" t="s">
        <v>357</v>
      </c>
      <c r="C498" s="30" t="s">
        <v>358</v>
      </c>
      <c r="D498" s="34"/>
      <c r="E498" s="35"/>
      <c r="F498" s="36"/>
      <c r="G498" s="283"/>
      <c r="H498" s="189"/>
      <c r="I498" s="229"/>
      <c r="J498" s="191"/>
      <c r="K498" s="219"/>
    </row>
    <row r="499" spans="1:12" ht="16.5" customHeight="1">
      <c r="A499" s="231"/>
      <c r="B499" s="39"/>
      <c r="C499" s="31" t="s">
        <v>288</v>
      </c>
      <c r="D499" s="34"/>
      <c r="E499" s="35"/>
      <c r="F499" s="36"/>
      <c r="G499" s="283"/>
      <c r="H499" s="189"/>
      <c r="I499" s="229"/>
      <c r="J499" s="191"/>
      <c r="K499" s="219"/>
    </row>
    <row r="500" spans="1:12" ht="16.5" customHeight="1">
      <c r="A500" s="386"/>
      <c r="B500" s="103"/>
      <c r="C500" s="32" t="s">
        <v>359</v>
      </c>
      <c r="D500" s="299">
        <v>8</v>
      </c>
      <c r="E500" s="295"/>
      <c r="F500" s="327"/>
      <c r="G500" s="331"/>
      <c r="H500" s="233"/>
      <c r="I500" s="234"/>
      <c r="J500" s="359">
        <v>2375</v>
      </c>
      <c r="K500" s="296">
        <f>J500*D500</f>
        <v>19000</v>
      </c>
    </row>
    <row r="501" spans="1:12" ht="15.75" customHeight="1">
      <c r="A501" s="196"/>
      <c r="B501" s="302"/>
      <c r="C501" s="340"/>
      <c r="D501" s="34"/>
      <c r="E501" s="36"/>
      <c r="F501" s="36"/>
      <c r="G501" s="419"/>
      <c r="H501" s="954" t="s">
        <v>44</v>
      </c>
      <c r="I501" s="954"/>
      <c r="J501" s="954"/>
      <c r="K501" s="421">
        <f>SUM(K11:K500)</f>
        <v>4113868.1</v>
      </c>
    </row>
    <row r="502" spans="1:12" ht="15.75" customHeight="1">
      <c r="A502" s="245"/>
      <c r="B502" s="3"/>
      <c r="C502" s="341"/>
      <c r="D502" s="3"/>
      <c r="E502" s="3"/>
      <c r="F502" s="3"/>
      <c r="G502" s="348"/>
      <c r="H502" s="953" t="s">
        <v>278</v>
      </c>
      <c r="I502" s="953"/>
      <c r="J502" s="953"/>
      <c r="K502" s="420">
        <f>18%*K501</f>
        <v>740496.25800000003</v>
      </c>
    </row>
    <row r="503" spans="1:12" ht="28.5" customHeight="1">
      <c r="A503" s="245"/>
      <c r="B503" s="3"/>
      <c r="C503" s="3"/>
      <c r="D503" s="3"/>
      <c r="E503" s="3"/>
      <c r="F503" s="3"/>
      <c r="G503" s="3"/>
      <c r="H503" s="342"/>
      <c r="I503" s="245"/>
      <c r="J503" s="343" t="s">
        <v>44</v>
      </c>
      <c r="K503" s="344">
        <f>SUM(K501:K502)</f>
        <v>4854364.358</v>
      </c>
    </row>
    <row r="504" spans="1:12">
      <c r="H504" s="5"/>
    </row>
    <row r="505" spans="1:12">
      <c r="H505" s="5"/>
      <c r="I505" s="154"/>
      <c r="J505" s="8"/>
      <c r="K505" s="8"/>
    </row>
    <row r="509" spans="1:12">
      <c r="L509" s="57"/>
    </row>
  </sheetData>
  <mergeCells count="97">
    <mergeCell ref="A434:A435"/>
    <mergeCell ref="B434:B435"/>
    <mergeCell ref="D434:G435"/>
    <mergeCell ref="H502:J502"/>
    <mergeCell ref="D436:G436"/>
    <mergeCell ref="F441:G441"/>
    <mergeCell ref="F447:G447"/>
    <mergeCell ref="A458:A459"/>
    <mergeCell ref="D458:F458"/>
    <mergeCell ref="H501:J501"/>
    <mergeCell ref="A461:A463"/>
    <mergeCell ref="B461:B463"/>
    <mergeCell ref="A464:A473"/>
    <mergeCell ref="B464:B473"/>
    <mergeCell ref="B486:B487"/>
    <mergeCell ref="A486:A488"/>
    <mergeCell ref="F483:G483"/>
    <mergeCell ref="F484:G484"/>
    <mergeCell ref="D338:G338"/>
    <mergeCell ref="F344:G344"/>
    <mergeCell ref="D347:G347"/>
    <mergeCell ref="F353:G353"/>
    <mergeCell ref="N434:P434"/>
    <mergeCell ref="D355:G355"/>
    <mergeCell ref="F373:G373"/>
    <mergeCell ref="F397:G397"/>
    <mergeCell ref="F411:G411"/>
    <mergeCell ref="F418:G418"/>
    <mergeCell ref="F425:G425"/>
    <mergeCell ref="F426:G426"/>
    <mergeCell ref="F428:G428"/>
    <mergeCell ref="C427:G427"/>
    <mergeCell ref="D429:G429"/>
    <mergeCell ref="F333:G333"/>
    <mergeCell ref="C334:G334"/>
    <mergeCell ref="F335:G335"/>
    <mergeCell ref="D288:G288"/>
    <mergeCell ref="D289:G290"/>
    <mergeCell ref="D292:G293"/>
    <mergeCell ref="D315:G315"/>
    <mergeCell ref="F316:G316"/>
    <mergeCell ref="F321:G321"/>
    <mergeCell ref="F322:G322"/>
    <mergeCell ref="C327:C328"/>
    <mergeCell ref="C331:C332"/>
    <mergeCell ref="F313:G313"/>
    <mergeCell ref="D294:G294"/>
    <mergeCell ref="D295:G295"/>
    <mergeCell ref="D282:G282"/>
    <mergeCell ref="D283:G283"/>
    <mergeCell ref="C285:G285"/>
    <mergeCell ref="C287:G287"/>
    <mergeCell ref="B297:B312"/>
    <mergeCell ref="F304:G304"/>
    <mergeCell ref="F305:G305"/>
    <mergeCell ref="F312:G312"/>
    <mergeCell ref="D229:F229"/>
    <mergeCell ref="F277:G277"/>
    <mergeCell ref="D278:F278"/>
    <mergeCell ref="D279:G279"/>
    <mergeCell ref="D281:G281"/>
    <mergeCell ref="C109:C110"/>
    <mergeCell ref="F145:G145"/>
    <mergeCell ref="F146:G146"/>
    <mergeCell ref="C159:C160"/>
    <mergeCell ref="C161:C162"/>
    <mergeCell ref="A19:A62"/>
    <mergeCell ref="C20:C21"/>
    <mergeCell ref="C22:C23"/>
    <mergeCell ref="F61:G61"/>
    <mergeCell ref="F62:G62"/>
    <mergeCell ref="A10:A18"/>
    <mergeCell ref="C11:C12"/>
    <mergeCell ref="C14:C15"/>
    <mergeCell ref="F17:G17"/>
    <mergeCell ref="F18:G18"/>
    <mergeCell ref="A1:I1"/>
    <mergeCell ref="A3:B3"/>
    <mergeCell ref="C3:I3"/>
    <mergeCell ref="A6:B6"/>
    <mergeCell ref="C6:I6"/>
    <mergeCell ref="N9:P9"/>
    <mergeCell ref="F374:G374"/>
    <mergeCell ref="F398:G398"/>
    <mergeCell ref="F412:G412"/>
    <mergeCell ref="F419:G419"/>
    <mergeCell ref="L101:O101"/>
    <mergeCell ref="E102:G102"/>
    <mergeCell ref="F181:G181"/>
    <mergeCell ref="F86:G86"/>
    <mergeCell ref="F87:G87"/>
    <mergeCell ref="F100:G100"/>
    <mergeCell ref="F101:G101"/>
    <mergeCell ref="C286:G286"/>
    <mergeCell ref="F182:G182"/>
    <mergeCell ref="E183:G183"/>
    <mergeCell ref="F228:G228"/>
  </mergeCells>
  <printOptions horizontalCentered="1" verticalCentered="1" gridLines="1"/>
  <pageMargins left="0.36" right="0.14000000000000001" top="0.52" bottom="0.51" header="0.25" footer="0.28000000000000003"/>
  <pageSetup paperSize="9" orientation="landscape" r:id="rId1"/>
  <headerFooter alignWithMargins="0"/>
</worksheet>
</file>

<file path=xl/worksheets/sheet5.xml><?xml version="1.0" encoding="utf-8"?>
<worksheet xmlns="http://schemas.openxmlformats.org/spreadsheetml/2006/main" xmlns:r="http://schemas.openxmlformats.org/officeDocument/2006/relationships">
  <dimension ref="A1:R372"/>
  <sheetViews>
    <sheetView view="pageBreakPreview" zoomScaleSheetLayoutView="100" workbookViewId="0">
      <selection activeCell="L8" sqref="L8"/>
    </sheetView>
  </sheetViews>
  <sheetFormatPr defaultRowHeight="15"/>
  <cols>
    <col min="1" max="1" width="7.42578125" style="722" customWidth="1"/>
    <col min="2" max="2" width="11.5703125" style="481" customWidth="1"/>
    <col min="3" max="3" width="43.28515625" style="487" customWidth="1"/>
    <col min="4" max="4" width="7.85546875" style="487" customWidth="1"/>
    <col min="5" max="5" width="10" style="487" customWidth="1"/>
    <col min="6" max="6" width="9.28515625" style="487" customWidth="1"/>
    <col min="7" max="7" width="9.5703125" style="487" customWidth="1"/>
    <col min="8" max="8" width="12.140625" style="546" bestFit="1" customWidth="1"/>
    <col min="9" max="9" width="8.85546875" style="542" customWidth="1"/>
    <col min="10" max="10" width="12" style="547" customWidth="1"/>
    <col min="11" max="11" width="13.7109375" style="547" bestFit="1" customWidth="1"/>
    <col min="12" max="12" width="59.85546875" style="487" customWidth="1"/>
    <col min="13" max="16384" width="9.140625" style="487"/>
  </cols>
  <sheetData>
    <row r="1" spans="1:16" ht="15" customHeight="1">
      <c r="A1" s="971" t="s">
        <v>437</v>
      </c>
      <c r="B1" s="971"/>
      <c r="C1" s="971"/>
      <c r="D1" s="971"/>
      <c r="E1" s="971"/>
      <c r="F1" s="971"/>
      <c r="G1" s="971"/>
      <c r="H1" s="971"/>
      <c r="I1" s="971"/>
      <c r="J1" s="971"/>
      <c r="K1" s="971"/>
      <c r="L1" s="574"/>
    </row>
    <row r="2" spans="1:16" ht="16.5">
      <c r="A2" s="972" t="s">
        <v>73</v>
      </c>
      <c r="B2" s="972"/>
      <c r="C2" s="972"/>
      <c r="D2" s="972"/>
      <c r="E2" s="972"/>
      <c r="F2" s="972"/>
      <c r="G2" s="972"/>
      <c r="H2" s="972"/>
      <c r="I2" s="972"/>
      <c r="J2" s="972"/>
      <c r="K2" s="972"/>
      <c r="L2" s="574"/>
    </row>
    <row r="3" spans="1:16" ht="18">
      <c r="A3" s="717"/>
      <c r="B3" s="792"/>
      <c r="C3" s="575"/>
      <c r="D3" s="575"/>
      <c r="E3" s="575"/>
      <c r="F3" s="575"/>
      <c r="G3" s="575"/>
      <c r="H3" s="576"/>
      <c r="I3" s="576"/>
      <c r="J3" s="575"/>
      <c r="K3" s="575"/>
      <c r="L3" s="574"/>
    </row>
    <row r="4" spans="1:16" ht="31.5" customHeight="1">
      <c r="A4" s="903" t="s">
        <v>34</v>
      </c>
      <c r="B4" s="904"/>
      <c r="C4" s="905" t="s">
        <v>498</v>
      </c>
      <c r="D4" s="905"/>
      <c r="E4" s="905"/>
      <c r="F4" s="905"/>
      <c r="G4" s="905"/>
      <c r="H4" s="905"/>
      <c r="I4" s="905"/>
      <c r="J4" s="905"/>
      <c r="K4" s="905"/>
      <c r="L4" s="574"/>
    </row>
    <row r="5" spans="1:16" ht="15.75">
      <c r="A5" s="723"/>
      <c r="B5" s="307"/>
      <c r="C5" s="577"/>
      <c r="D5" s="577"/>
      <c r="E5" s="577"/>
      <c r="F5" s="577"/>
      <c r="G5" s="577"/>
      <c r="H5" s="182"/>
      <c r="I5" s="578"/>
      <c r="J5" s="577"/>
      <c r="K5" s="577"/>
      <c r="L5" s="574"/>
    </row>
    <row r="6" spans="1:16" ht="16.5">
      <c r="A6" s="718"/>
      <c r="B6" s="794"/>
      <c r="C6" s="579"/>
      <c r="D6" s="580"/>
      <c r="E6" s="580"/>
      <c r="F6" s="580"/>
      <c r="G6" s="580"/>
      <c r="H6" s="581"/>
      <c r="I6" s="40"/>
      <c r="J6" s="11"/>
      <c r="K6" s="11"/>
      <c r="L6" s="574"/>
    </row>
    <row r="7" spans="1:16" ht="31.5">
      <c r="A7" s="719" t="s">
        <v>35</v>
      </c>
      <c r="B7" s="719" t="s">
        <v>36</v>
      </c>
      <c r="C7" s="586" t="s">
        <v>37</v>
      </c>
      <c r="D7" s="587" t="s">
        <v>38</v>
      </c>
      <c r="E7" s="587" t="s">
        <v>39</v>
      </c>
      <c r="F7" s="587" t="s">
        <v>40</v>
      </c>
      <c r="G7" s="587" t="s">
        <v>41</v>
      </c>
      <c r="H7" s="586" t="s">
        <v>42</v>
      </c>
      <c r="I7" s="586" t="s">
        <v>6</v>
      </c>
      <c r="J7" s="586" t="s">
        <v>261</v>
      </c>
      <c r="K7" s="586" t="s">
        <v>262</v>
      </c>
      <c r="L7" s="557"/>
      <c r="N7" s="967"/>
      <c r="O7" s="968"/>
      <c r="P7" s="968"/>
    </row>
    <row r="8" spans="1:16" ht="195">
      <c r="A8" s="573">
        <v>1</v>
      </c>
      <c r="B8" s="610">
        <v>21.02</v>
      </c>
      <c r="C8" s="609" t="s">
        <v>499</v>
      </c>
      <c r="D8" s="496"/>
      <c r="E8" s="496"/>
      <c r="F8" s="496"/>
      <c r="G8" s="496"/>
      <c r="H8" s="496"/>
      <c r="I8" s="496"/>
      <c r="J8" s="496"/>
      <c r="K8" s="496"/>
      <c r="L8" s="496"/>
      <c r="N8" s="604"/>
      <c r="O8" s="605"/>
      <c r="P8" s="605"/>
    </row>
    <row r="9" spans="1:16" ht="15.75" customHeight="1">
      <c r="A9" s="610"/>
      <c r="B9" s="610"/>
      <c r="C9" s="611" t="s">
        <v>132</v>
      </c>
      <c r="D9" s="496">
        <v>2</v>
      </c>
      <c r="E9" s="496">
        <v>21</v>
      </c>
      <c r="F9" s="496">
        <v>1.5</v>
      </c>
      <c r="G9" s="496">
        <v>0.5</v>
      </c>
      <c r="H9" s="514">
        <f t="shared" ref="H9:H11" si="0">D9*E9*F9*G9</f>
        <v>31.5</v>
      </c>
      <c r="I9" s="496"/>
      <c r="J9" s="496"/>
      <c r="K9" s="496"/>
      <c r="L9" s="496"/>
      <c r="N9" s="604"/>
      <c r="O9" s="605"/>
      <c r="P9" s="605"/>
    </row>
    <row r="10" spans="1:16" ht="15.75">
      <c r="A10" s="610"/>
      <c r="B10" s="610"/>
      <c r="C10" s="496"/>
      <c r="D10" s="496">
        <v>2</v>
      </c>
      <c r="E10" s="496">
        <v>7.5</v>
      </c>
      <c r="F10" s="496">
        <v>1.5</v>
      </c>
      <c r="G10" s="496">
        <v>0.5</v>
      </c>
      <c r="H10" s="514">
        <f t="shared" si="0"/>
        <v>11.25</v>
      </c>
      <c r="I10" s="496"/>
      <c r="J10" s="496"/>
      <c r="K10" s="496"/>
      <c r="L10" s="496"/>
      <c r="N10" s="604"/>
      <c r="O10" s="605"/>
      <c r="P10" s="605"/>
    </row>
    <row r="11" spans="1:16" ht="15.75">
      <c r="A11" s="610"/>
      <c r="B11" s="610"/>
      <c r="C11" s="496" t="s">
        <v>260</v>
      </c>
      <c r="D11" s="496">
        <v>2</v>
      </c>
      <c r="E11" s="496">
        <v>3</v>
      </c>
      <c r="F11" s="496">
        <v>1.5</v>
      </c>
      <c r="G11" s="496">
        <v>0.5</v>
      </c>
      <c r="H11" s="514">
        <f t="shared" si="0"/>
        <v>4.5</v>
      </c>
      <c r="I11" s="496"/>
      <c r="J11" s="496"/>
      <c r="K11" s="496"/>
      <c r="L11" s="496"/>
      <c r="N11" s="604"/>
      <c r="O11" s="605"/>
      <c r="P11" s="605"/>
    </row>
    <row r="12" spans="1:16" ht="15.75">
      <c r="A12" s="610"/>
      <c r="B12" s="610"/>
      <c r="C12" s="496"/>
      <c r="D12" s="496"/>
      <c r="E12" s="496"/>
      <c r="F12" s="496" t="s">
        <v>43</v>
      </c>
      <c r="G12" s="496"/>
      <c r="H12" s="514">
        <f>SUM(H9:H11)</f>
        <v>47.25</v>
      </c>
      <c r="I12" s="496"/>
      <c r="J12" s="496"/>
      <c r="K12" s="496"/>
      <c r="L12" s="496"/>
      <c r="N12" s="604"/>
      <c r="O12" s="605"/>
      <c r="P12" s="605"/>
    </row>
    <row r="13" spans="1:16" ht="15.75">
      <c r="A13" s="610"/>
      <c r="B13" s="610"/>
      <c r="C13" s="496"/>
      <c r="D13" s="496"/>
      <c r="E13" s="496"/>
      <c r="G13" s="585" t="s">
        <v>10</v>
      </c>
      <c r="H13" s="585">
        <f>ROUNDUP(H12,0)</f>
        <v>48</v>
      </c>
      <c r="I13" s="744" t="s">
        <v>375</v>
      </c>
      <c r="J13" s="585">
        <v>207</v>
      </c>
      <c r="K13" s="585">
        <f>J13*H13</f>
        <v>9936</v>
      </c>
      <c r="L13" s="496"/>
      <c r="N13" s="604"/>
      <c r="O13" s="605"/>
      <c r="P13" s="605"/>
    </row>
    <row r="14" spans="1:16" ht="15.75">
      <c r="A14" s="676"/>
      <c r="B14" s="676"/>
      <c r="C14" s="565"/>
      <c r="D14" s="565"/>
      <c r="E14" s="565"/>
      <c r="F14" s="565"/>
      <c r="G14" s="565"/>
      <c r="H14" s="565"/>
      <c r="I14" s="565"/>
      <c r="J14" s="565"/>
      <c r="K14" s="565"/>
      <c r="L14" s="496"/>
      <c r="N14" s="604"/>
      <c r="O14" s="605"/>
      <c r="P14" s="605"/>
    </row>
    <row r="15" spans="1:16" ht="60" customHeight="1">
      <c r="A15" s="597">
        <f>1+A8</f>
        <v>2</v>
      </c>
      <c r="B15" s="599">
        <v>32.33</v>
      </c>
      <c r="C15" s="490" t="s">
        <v>494</v>
      </c>
      <c r="D15" s="491"/>
      <c r="E15" s="492"/>
      <c r="F15" s="493"/>
      <c r="G15" s="494"/>
      <c r="H15" s="495"/>
      <c r="I15" s="495"/>
      <c r="J15" s="496"/>
      <c r="K15" s="496"/>
      <c r="L15" s="489"/>
      <c r="N15" s="497"/>
      <c r="O15" s="498"/>
      <c r="P15" s="498"/>
    </row>
    <row r="16" spans="1:16" ht="15.75">
      <c r="A16" s="598"/>
      <c r="B16" s="795" t="s">
        <v>286</v>
      </c>
      <c r="C16" s="502" t="s">
        <v>273</v>
      </c>
      <c r="D16" s="491"/>
      <c r="E16" s="492"/>
      <c r="F16" s="493"/>
      <c r="G16" s="525"/>
      <c r="H16" s="495"/>
      <c r="I16" s="495"/>
      <c r="J16" s="496"/>
      <c r="K16" s="496"/>
      <c r="L16" s="489"/>
      <c r="N16" s="497"/>
      <c r="O16" s="498"/>
      <c r="P16" s="498"/>
    </row>
    <row r="17" spans="1:16" ht="15.75">
      <c r="A17" s="598"/>
      <c r="B17" s="599"/>
      <c r="C17" s="502" t="s">
        <v>148</v>
      </c>
      <c r="D17" s="491"/>
      <c r="E17" s="492"/>
      <c r="F17" s="493"/>
      <c r="G17" s="525"/>
      <c r="H17" s="495"/>
      <c r="I17" s="495"/>
      <c r="J17" s="496"/>
      <c r="K17" s="496"/>
      <c r="L17" s="489"/>
      <c r="N17" s="497"/>
      <c r="O17" s="498"/>
      <c r="P17" s="498"/>
    </row>
    <row r="18" spans="1:16" ht="15.75">
      <c r="A18" s="598"/>
      <c r="B18" s="599"/>
      <c r="C18" s="503" t="s">
        <v>149</v>
      </c>
      <c r="D18" s="491">
        <v>12</v>
      </c>
      <c r="E18" s="492">
        <v>3.05</v>
      </c>
      <c r="F18" s="504">
        <v>3.75</v>
      </c>
      <c r="G18" s="526"/>
      <c r="H18" s="566">
        <f t="shared" ref="H18:H27" si="1">F18*E18*D18</f>
        <v>137.25</v>
      </c>
      <c r="I18" s="495"/>
      <c r="J18" s="496"/>
      <c r="K18" s="496"/>
      <c r="L18" s="489"/>
      <c r="N18" s="497"/>
      <c r="O18" s="498"/>
      <c r="P18" s="498"/>
    </row>
    <row r="19" spans="1:16" ht="15.75">
      <c r="A19" s="598"/>
      <c r="B19" s="599"/>
      <c r="C19" s="503" t="s">
        <v>150</v>
      </c>
      <c r="D19" s="491">
        <v>12</v>
      </c>
      <c r="E19" s="492">
        <v>3.05</v>
      </c>
      <c r="F19" s="504">
        <v>3.05</v>
      </c>
      <c r="G19" s="526"/>
      <c r="H19" s="566">
        <f t="shared" si="1"/>
        <v>111.62999999999998</v>
      </c>
      <c r="I19" s="495"/>
      <c r="J19" s="496"/>
      <c r="K19" s="496"/>
      <c r="L19" s="489"/>
      <c r="N19" s="497"/>
      <c r="O19" s="498"/>
      <c r="P19" s="498"/>
    </row>
    <row r="20" spans="1:16" ht="15.75">
      <c r="A20" s="598"/>
      <c r="B20" s="599"/>
      <c r="C20" s="503" t="s">
        <v>151</v>
      </c>
      <c r="D20" s="491">
        <v>12</v>
      </c>
      <c r="E20" s="492">
        <v>0.98</v>
      </c>
      <c r="F20" s="504">
        <v>2.52</v>
      </c>
      <c r="G20" s="526"/>
      <c r="H20" s="566">
        <f t="shared" si="1"/>
        <v>29.635199999999998</v>
      </c>
      <c r="I20" s="495"/>
      <c r="J20" s="496"/>
      <c r="K20" s="496"/>
      <c r="L20" s="489"/>
      <c r="N20" s="497"/>
      <c r="O20" s="498"/>
      <c r="P20" s="498"/>
    </row>
    <row r="21" spans="1:16" ht="15.75">
      <c r="A21" s="598"/>
      <c r="B21" s="599"/>
      <c r="C21" s="503" t="s">
        <v>152</v>
      </c>
      <c r="D21" s="491">
        <v>12</v>
      </c>
      <c r="E21" s="492">
        <v>1.22</v>
      </c>
      <c r="F21" s="504">
        <v>1.22</v>
      </c>
      <c r="G21" s="526"/>
      <c r="H21" s="566">
        <f t="shared" si="1"/>
        <v>17.860799999999998</v>
      </c>
      <c r="I21" s="495"/>
      <c r="J21" s="496"/>
      <c r="K21" s="496"/>
      <c r="L21" s="489"/>
      <c r="N21" s="497"/>
      <c r="O21" s="498"/>
      <c r="P21" s="498"/>
    </row>
    <row r="22" spans="1:16" ht="15.75">
      <c r="A22" s="598"/>
      <c r="B22" s="599"/>
      <c r="C22" s="503" t="s">
        <v>153</v>
      </c>
      <c r="D22" s="491">
        <v>12</v>
      </c>
      <c r="E22" s="492">
        <v>0.95</v>
      </c>
      <c r="F22" s="504">
        <v>1.22</v>
      </c>
      <c r="G22" s="526"/>
      <c r="H22" s="566">
        <f t="shared" si="1"/>
        <v>13.908000000000001</v>
      </c>
      <c r="I22" s="495"/>
      <c r="J22" s="496"/>
      <c r="K22" s="496"/>
      <c r="L22" s="489"/>
      <c r="N22" s="497"/>
      <c r="O22" s="498"/>
      <c r="P22" s="498"/>
    </row>
    <row r="23" spans="1:16" ht="15.75">
      <c r="A23" s="598"/>
      <c r="B23" s="599"/>
      <c r="C23" s="503" t="s">
        <v>251</v>
      </c>
      <c r="D23" s="506">
        <v>1</v>
      </c>
      <c r="E23" s="495">
        <v>5.3070000000000004</v>
      </c>
      <c r="F23" s="504">
        <v>2.15</v>
      </c>
      <c r="G23" s="526"/>
      <c r="H23" s="566">
        <f t="shared" si="1"/>
        <v>11.41005</v>
      </c>
      <c r="I23" s="495"/>
      <c r="J23" s="496"/>
      <c r="K23" s="496"/>
      <c r="L23" s="489"/>
      <c r="N23" s="497"/>
      <c r="O23" s="498"/>
      <c r="P23" s="498"/>
    </row>
    <row r="24" spans="1:16" ht="30">
      <c r="A24" s="598"/>
      <c r="B24" s="599"/>
      <c r="C24" s="503" t="s">
        <v>250</v>
      </c>
      <c r="D24" s="506">
        <v>2</v>
      </c>
      <c r="E24" s="495">
        <v>3.74</v>
      </c>
      <c r="F24" s="504">
        <v>2.15</v>
      </c>
      <c r="G24" s="526"/>
      <c r="H24" s="566">
        <f t="shared" si="1"/>
        <v>16.082000000000001</v>
      </c>
      <c r="I24" s="495"/>
      <c r="J24" s="496"/>
      <c r="K24" s="496"/>
      <c r="L24" s="489"/>
      <c r="N24" s="497"/>
      <c r="O24" s="498"/>
      <c r="P24" s="498"/>
    </row>
    <row r="25" spans="1:16" ht="15.75">
      <c r="A25" s="598"/>
      <c r="B25" s="599"/>
      <c r="C25" s="503" t="s">
        <v>154</v>
      </c>
      <c r="D25" s="491">
        <v>1</v>
      </c>
      <c r="E25" s="492">
        <v>2.15</v>
      </c>
      <c r="F25" s="504">
        <v>5.2</v>
      </c>
      <c r="G25" s="526"/>
      <c r="H25" s="566">
        <f t="shared" si="1"/>
        <v>11.18</v>
      </c>
      <c r="I25" s="495"/>
      <c r="J25" s="496"/>
      <c r="K25" s="496"/>
      <c r="L25" s="489"/>
      <c r="N25" s="497"/>
      <c r="O25" s="498"/>
      <c r="P25" s="498"/>
    </row>
    <row r="26" spans="1:16" ht="15.75">
      <c r="A26" s="598"/>
      <c r="B26" s="599"/>
      <c r="C26" s="503" t="s">
        <v>155</v>
      </c>
      <c r="D26" s="506">
        <v>3</v>
      </c>
      <c r="E26" s="495">
        <v>2.15</v>
      </c>
      <c r="F26" s="504">
        <v>1.2</v>
      </c>
      <c r="G26" s="526"/>
      <c r="H26" s="566">
        <f t="shared" si="1"/>
        <v>7.7399999999999984</v>
      </c>
      <c r="I26" s="495"/>
      <c r="J26" s="496"/>
      <c r="K26" s="496"/>
      <c r="L26" s="489"/>
      <c r="N26" s="497"/>
      <c r="O26" s="498"/>
      <c r="P26" s="498"/>
    </row>
    <row r="27" spans="1:16" ht="15.75">
      <c r="A27" s="598"/>
      <c r="B27" s="599"/>
      <c r="C27" s="503" t="s">
        <v>156</v>
      </c>
      <c r="D27" s="491">
        <v>6</v>
      </c>
      <c r="E27" s="492">
        <v>0.95</v>
      </c>
      <c r="F27" s="504">
        <v>3</v>
      </c>
      <c r="G27" s="526"/>
      <c r="H27" s="571">
        <f t="shared" si="1"/>
        <v>17.099999999999998</v>
      </c>
      <c r="I27" s="495"/>
      <c r="J27" s="527"/>
      <c r="K27" s="527"/>
      <c r="L27" s="489"/>
      <c r="N27" s="497"/>
      <c r="O27" s="498"/>
      <c r="P27" s="498"/>
    </row>
    <row r="28" spans="1:16" ht="15.75">
      <c r="A28" s="598"/>
      <c r="B28" s="599"/>
      <c r="C28" s="490"/>
      <c r="D28" s="491"/>
      <c r="E28" s="492"/>
      <c r="F28" s="964" t="s">
        <v>428</v>
      </c>
      <c r="G28" s="966"/>
      <c r="H28" s="570">
        <f>SUM(H18:H27)</f>
        <v>373.79605000000004</v>
      </c>
      <c r="I28" s="507"/>
      <c r="J28" s="512"/>
      <c r="K28" s="512"/>
      <c r="L28" s="489"/>
      <c r="N28" s="497"/>
      <c r="O28" s="498"/>
      <c r="P28" s="498"/>
    </row>
    <row r="29" spans="1:16" ht="15.75">
      <c r="A29" s="598"/>
      <c r="B29" s="795" t="s">
        <v>294</v>
      </c>
      <c r="C29" s="502" t="s">
        <v>147</v>
      </c>
      <c r="D29" s="491"/>
      <c r="E29" s="492"/>
      <c r="F29" s="493"/>
      <c r="G29" s="494"/>
      <c r="H29" s="566"/>
      <c r="I29" s="495"/>
      <c r="J29" s="496"/>
      <c r="K29" s="496"/>
      <c r="L29" s="489"/>
      <c r="N29" s="497"/>
      <c r="O29" s="498"/>
      <c r="P29" s="498"/>
    </row>
    <row r="30" spans="1:16" ht="15.75">
      <c r="A30" s="598"/>
      <c r="B30" s="599"/>
      <c r="C30" s="502" t="s">
        <v>162</v>
      </c>
      <c r="D30" s="491"/>
      <c r="E30" s="492"/>
      <c r="F30" s="493"/>
      <c r="G30" s="494"/>
      <c r="H30" s="566"/>
      <c r="I30" s="495"/>
      <c r="J30" s="496"/>
      <c r="K30" s="496"/>
      <c r="L30" s="489"/>
      <c r="N30" s="497"/>
      <c r="O30" s="498"/>
      <c r="P30" s="498"/>
    </row>
    <row r="31" spans="1:16" ht="15.75">
      <c r="A31" s="598"/>
      <c r="B31" s="599"/>
      <c r="C31" s="503" t="s">
        <v>149</v>
      </c>
      <c r="D31" s="491" t="s">
        <v>247</v>
      </c>
      <c r="E31" s="492">
        <v>3.05</v>
      </c>
      <c r="F31" s="504">
        <v>3.1</v>
      </c>
      <c r="G31" s="505"/>
      <c r="H31" s="566">
        <f>F31*E31*8*2</f>
        <v>151.28</v>
      </c>
      <c r="I31" s="495"/>
      <c r="J31" s="496"/>
      <c r="K31" s="496"/>
      <c r="L31" s="489"/>
      <c r="N31" s="497"/>
      <c r="O31" s="498"/>
      <c r="P31" s="498"/>
    </row>
    <row r="32" spans="1:16" ht="15.75">
      <c r="A32" s="598"/>
      <c r="B32" s="599"/>
      <c r="C32" s="503"/>
      <c r="D32" s="491" t="s">
        <v>247</v>
      </c>
      <c r="E32" s="492">
        <v>3.75</v>
      </c>
      <c r="F32" s="504">
        <v>3.1</v>
      </c>
      <c r="G32" s="505"/>
      <c r="H32" s="566">
        <f>F32*E32*8*2</f>
        <v>186</v>
      </c>
      <c r="I32" s="495"/>
      <c r="J32" s="496"/>
      <c r="K32" s="496"/>
      <c r="L32" s="489"/>
      <c r="N32" s="497"/>
      <c r="O32" s="498"/>
      <c r="P32" s="498"/>
    </row>
    <row r="33" spans="1:16" ht="15.75">
      <c r="A33" s="598"/>
      <c r="B33" s="599"/>
      <c r="C33" s="503" t="s">
        <v>150</v>
      </c>
      <c r="D33" s="491" t="s">
        <v>247</v>
      </c>
      <c r="E33" s="492">
        <v>3.05</v>
      </c>
      <c r="F33" s="504">
        <v>3.1</v>
      </c>
      <c r="G33" s="505"/>
      <c r="H33" s="566">
        <f>F33*E33*8*2</f>
        <v>151.28</v>
      </c>
      <c r="I33" s="495"/>
      <c r="J33" s="496"/>
      <c r="K33" s="496"/>
      <c r="L33" s="489"/>
      <c r="N33" s="497"/>
      <c r="O33" s="498"/>
      <c r="P33" s="498"/>
    </row>
    <row r="34" spans="1:16" ht="15.75">
      <c r="A34" s="598"/>
      <c r="B34" s="599"/>
      <c r="C34" s="503"/>
      <c r="D34" s="491" t="s">
        <v>247</v>
      </c>
      <c r="E34" s="492">
        <v>3.35</v>
      </c>
      <c r="F34" s="504">
        <v>3.1</v>
      </c>
      <c r="G34" s="505"/>
      <c r="H34" s="566">
        <f>F34*E34*8*2</f>
        <v>166.16</v>
      </c>
      <c r="I34" s="495"/>
      <c r="J34" s="496"/>
      <c r="K34" s="496"/>
      <c r="L34" s="489"/>
      <c r="N34" s="497"/>
      <c r="O34" s="498"/>
      <c r="P34" s="498"/>
    </row>
    <row r="35" spans="1:16" ht="15.75">
      <c r="A35" s="598"/>
      <c r="B35" s="599"/>
      <c r="C35" s="503" t="s">
        <v>151</v>
      </c>
      <c r="D35" s="491" t="s">
        <v>247</v>
      </c>
      <c r="E35" s="492">
        <v>2.52</v>
      </c>
      <c r="F35" s="504">
        <v>3.1</v>
      </c>
      <c r="G35" s="505"/>
      <c r="H35" s="566">
        <f t="shared" ref="H35:H40" si="2">F35*E35*8*2</f>
        <v>124.992</v>
      </c>
      <c r="I35" s="495"/>
      <c r="J35" s="496"/>
      <c r="K35" s="496"/>
      <c r="L35" s="489"/>
      <c r="N35" s="497"/>
      <c r="O35" s="498"/>
      <c r="P35" s="498"/>
    </row>
    <row r="36" spans="1:16" ht="15.75">
      <c r="A36" s="598"/>
      <c r="B36" s="599"/>
      <c r="C36" s="503"/>
      <c r="D36" s="491" t="s">
        <v>247</v>
      </c>
      <c r="E36" s="492">
        <v>0.98</v>
      </c>
      <c r="F36" s="504">
        <v>3.1</v>
      </c>
      <c r="G36" s="505"/>
      <c r="H36" s="566">
        <f>F36*E36*8*2</f>
        <v>48.607999999999997</v>
      </c>
      <c r="I36" s="495"/>
      <c r="J36" s="496"/>
      <c r="K36" s="496"/>
      <c r="L36" s="489"/>
      <c r="N36" s="497"/>
      <c r="O36" s="498"/>
      <c r="P36" s="498"/>
    </row>
    <row r="37" spans="1:16" ht="15.75">
      <c r="A37" s="598"/>
      <c r="B37" s="599"/>
      <c r="C37" s="503" t="s">
        <v>152</v>
      </c>
      <c r="D37" s="491" t="s">
        <v>247</v>
      </c>
      <c r="E37" s="492">
        <v>1.22</v>
      </c>
      <c r="F37" s="504">
        <v>2.2000000000000002</v>
      </c>
      <c r="G37" s="505"/>
      <c r="H37" s="566">
        <f t="shared" si="2"/>
        <v>42.944000000000003</v>
      </c>
      <c r="I37" s="495"/>
      <c r="J37" s="496"/>
      <c r="K37" s="496"/>
      <c r="L37" s="489"/>
      <c r="N37" s="497"/>
      <c r="O37" s="498"/>
      <c r="P37" s="498"/>
    </row>
    <row r="38" spans="1:16" ht="15.75">
      <c r="A38" s="598"/>
      <c r="B38" s="599"/>
      <c r="C38" s="503"/>
      <c r="D38" s="491" t="s">
        <v>247</v>
      </c>
      <c r="E38" s="492">
        <v>1.22</v>
      </c>
      <c r="F38" s="504">
        <v>2.2000000000000002</v>
      </c>
      <c r="G38" s="505"/>
      <c r="H38" s="566">
        <f t="shared" si="2"/>
        <v>42.944000000000003</v>
      </c>
      <c r="I38" s="495"/>
      <c r="J38" s="496"/>
      <c r="K38" s="496"/>
      <c r="L38" s="489"/>
      <c r="N38" s="497"/>
      <c r="O38" s="498"/>
      <c r="P38" s="498"/>
    </row>
    <row r="39" spans="1:16" ht="15.75">
      <c r="A39" s="598"/>
      <c r="B39" s="599"/>
      <c r="C39" s="503" t="s">
        <v>153</v>
      </c>
      <c r="D39" s="491" t="s">
        <v>247</v>
      </c>
      <c r="E39" s="492">
        <v>1.22</v>
      </c>
      <c r="F39" s="504">
        <v>2.27</v>
      </c>
      <c r="G39" s="505"/>
      <c r="H39" s="566">
        <f t="shared" si="2"/>
        <v>44.310400000000001</v>
      </c>
      <c r="I39" s="495"/>
      <c r="J39" s="496"/>
      <c r="K39" s="496"/>
      <c r="L39" s="489"/>
      <c r="N39" s="497"/>
      <c r="O39" s="498"/>
      <c r="P39" s="498"/>
    </row>
    <row r="40" spans="1:16" ht="15.75">
      <c r="A40" s="598"/>
      <c r="B40" s="599"/>
      <c r="C40" s="503"/>
      <c r="D40" s="491" t="s">
        <v>247</v>
      </c>
      <c r="E40" s="492">
        <v>0.95</v>
      </c>
      <c r="F40" s="504">
        <v>2.27</v>
      </c>
      <c r="G40" s="505"/>
      <c r="H40" s="566">
        <f t="shared" si="2"/>
        <v>34.503999999999998</v>
      </c>
      <c r="I40" s="495"/>
      <c r="J40" s="496"/>
      <c r="K40" s="496"/>
      <c r="L40" s="489"/>
      <c r="N40" s="497"/>
      <c r="O40" s="498"/>
      <c r="P40" s="498"/>
    </row>
    <row r="41" spans="1:16" ht="15.75">
      <c r="A41" s="598"/>
      <c r="B41" s="599"/>
      <c r="C41" s="963" t="s">
        <v>253</v>
      </c>
      <c r="D41" s="491">
        <v>1</v>
      </c>
      <c r="E41" s="492">
        <v>2.15</v>
      </c>
      <c r="F41" s="504">
        <v>3.05</v>
      </c>
      <c r="G41" s="505"/>
      <c r="H41" s="566">
        <f>F41*E41*2*2</f>
        <v>26.229999999999997</v>
      </c>
      <c r="I41" s="495"/>
      <c r="J41" s="496"/>
      <c r="K41" s="496"/>
      <c r="L41" s="489"/>
      <c r="N41" s="497"/>
      <c r="O41" s="498"/>
      <c r="P41" s="498"/>
    </row>
    <row r="42" spans="1:16" ht="15.75">
      <c r="A42" s="598"/>
      <c r="B42" s="599"/>
      <c r="C42" s="963"/>
      <c r="D42" s="491">
        <v>1</v>
      </c>
      <c r="E42" s="492">
        <v>5.0999999999999996</v>
      </c>
      <c r="F42" s="504">
        <v>3.05</v>
      </c>
      <c r="G42" s="505"/>
      <c r="H42" s="566">
        <f>F42*E42*2*3</f>
        <v>93.329999999999984</v>
      </c>
      <c r="I42" s="495"/>
      <c r="J42" s="496"/>
      <c r="K42" s="496"/>
      <c r="L42" s="489"/>
      <c r="N42" s="497"/>
      <c r="O42" s="498"/>
      <c r="P42" s="498"/>
    </row>
    <row r="43" spans="1:16" ht="15.75">
      <c r="A43" s="598"/>
      <c r="B43" s="599"/>
      <c r="C43" s="963" t="s">
        <v>254</v>
      </c>
      <c r="D43" s="491">
        <v>3</v>
      </c>
      <c r="E43" s="492">
        <v>3.97</v>
      </c>
      <c r="F43" s="492">
        <v>2.15</v>
      </c>
      <c r="G43" s="505"/>
      <c r="H43" s="566"/>
      <c r="I43" s="495"/>
      <c r="J43" s="496"/>
      <c r="K43" s="496"/>
      <c r="L43" s="489"/>
      <c r="N43" s="497"/>
      <c r="O43" s="498"/>
      <c r="P43" s="498"/>
    </row>
    <row r="44" spans="1:16" ht="15.75">
      <c r="A44" s="598"/>
      <c r="B44" s="599"/>
      <c r="C44" s="963"/>
      <c r="D44" s="491">
        <v>3</v>
      </c>
      <c r="E44" s="492">
        <v>3.97</v>
      </c>
      <c r="F44" s="492">
        <v>2.15</v>
      </c>
      <c r="G44" s="505"/>
      <c r="H44" s="566">
        <f>F44*E44*D44</f>
        <v>25.606500000000004</v>
      </c>
      <c r="I44" s="495"/>
      <c r="J44" s="496"/>
      <c r="K44" s="496"/>
      <c r="L44" s="489"/>
      <c r="N44" s="497"/>
      <c r="O44" s="498"/>
      <c r="P44" s="498"/>
    </row>
    <row r="45" spans="1:16" ht="15.75">
      <c r="A45" s="598"/>
      <c r="B45" s="599"/>
      <c r="C45" s="503" t="s">
        <v>154</v>
      </c>
      <c r="D45" s="506">
        <v>1</v>
      </c>
      <c r="E45" s="495">
        <v>5.2</v>
      </c>
      <c r="F45" s="504">
        <v>2.15</v>
      </c>
      <c r="G45" s="505"/>
      <c r="H45" s="566">
        <f>F45*E45*2*2</f>
        <v>44.72</v>
      </c>
      <c r="I45" s="495"/>
      <c r="J45" s="496"/>
      <c r="K45" s="496"/>
      <c r="L45" s="489"/>
      <c r="N45" s="497"/>
      <c r="O45" s="498"/>
      <c r="P45" s="498"/>
    </row>
    <row r="46" spans="1:16" ht="15.75">
      <c r="A46" s="598"/>
      <c r="B46" s="599"/>
      <c r="C46" s="503" t="s">
        <v>166</v>
      </c>
      <c r="D46" s="491" t="s">
        <v>255</v>
      </c>
      <c r="E46" s="492">
        <v>3</v>
      </c>
      <c r="F46" s="504">
        <v>1.1000000000000001</v>
      </c>
      <c r="G46" s="505"/>
      <c r="H46" s="566">
        <f>F46*E46*2*4</f>
        <v>26.400000000000002</v>
      </c>
      <c r="I46" s="495"/>
      <c r="J46" s="496"/>
      <c r="K46" s="496"/>
      <c r="L46" s="489"/>
      <c r="N46" s="497"/>
      <c r="O46" s="498"/>
      <c r="P46" s="498"/>
    </row>
    <row r="47" spans="1:16" ht="15.75">
      <c r="A47" s="598"/>
      <c r="B47" s="599"/>
      <c r="C47" s="513" t="s">
        <v>167</v>
      </c>
      <c r="D47" s="491"/>
      <c r="E47" s="492"/>
      <c r="F47" s="504"/>
      <c r="G47" s="505"/>
      <c r="H47" s="519"/>
      <c r="I47" s="501"/>
      <c r="J47" s="512"/>
      <c r="K47" s="512"/>
      <c r="L47" s="489"/>
      <c r="N47" s="497"/>
      <c r="O47" s="498"/>
      <c r="P47" s="498"/>
    </row>
    <row r="48" spans="1:16" ht="15.75">
      <c r="A48" s="598"/>
      <c r="B48" s="599"/>
      <c r="C48" s="503" t="s">
        <v>149</v>
      </c>
      <c r="D48" s="491"/>
      <c r="E48" s="492"/>
      <c r="F48" s="504"/>
      <c r="G48" s="505"/>
      <c r="H48" s="519"/>
      <c r="I48" s="501"/>
      <c r="J48" s="512"/>
      <c r="K48" s="512"/>
      <c r="L48" s="489"/>
      <c r="N48" s="497"/>
      <c r="O48" s="498"/>
      <c r="P48" s="498"/>
    </row>
    <row r="49" spans="1:16" ht="15.75">
      <c r="A49" s="598"/>
      <c r="B49" s="599"/>
      <c r="C49" s="503" t="s">
        <v>168</v>
      </c>
      <c r="D49" s="491">
        <v>-12</v>
      </c>
      <c r="E49" s="492">
        <v>0.9</v>
      </c>
      <c r="F49" s="504">
        <v>2.1</v>
      </c>
      <c r="G49" s="505"/>
      <c r="H49" s="566">
        <f>F49*E49*D49</f>
        <v>-22.68</v>
      </c>
      <c r="I49" s="495"/>
      <c r="J49" s="496"/>
      <c r="K49" s="496"/>
      <c r="L49" s="489"/>
      <c r="N49" s="497"/>
      <c r="O49" s="498"/>
      <c r="P49" s="498"/>
    </row>
    <row r="50" spans="1:16" ht="15.75">
      <c r="A50" s="598"/>
      <c r="B50" s="599"/>
      <c r="C50" s="503" t="s">
        <v>171</v>
      </c>
      <c r="D50" s="491">
        <v>-12</v>
      </c>
      <c r="E50" s="492">
        <v>1.5</v>
      </c>
      <c r="F50" s="504">
        <v>1.2</v>
      </c>
      <c r="G50" s="505"/>
      <c r="H50" s="566">
        <f>F50*E50*D50</f>
        <v>-21.599999999999998</v>
      </c>
      <c r="I50" s="495"/>
      <c r="J50" s="496"/>
      <c r="K50" s="496"/>
      <c r="L50" s="489"/>
      <c r="N50" s="497"/>
      <c r="O50" s="498"/>
      <c r="P50" s="498"/>
    </row>
    <row r="51" spans="1:16" ht="15.75">
      <c r="A51" s="598"/>
      <c r="B51" s="599"/>
      <c r="C51" s="503" t="s">
        <v>172</v>
      </c>
      <c r="D51" s="491"/>
      <c r="E51" s="492"/>
      <c r="F51" s="504"/>
      <c r="G51" s="505"/>
      <c r="H51" s="519"/>
      <c r="I51" s="501"/>
      <c r="J51" s="512"/>
      <c r="K51" s="512"/>
      <c r="L51" s="489"/>
      <c r="N51" s="497"/>
      <c r="O51" s="498"/>
      <c r="P51" s="498"/>
    </row>
    <row r="52" spans="1:16" ht="15.75">
      <c r="A52" s="598"/>
      <c r="B52" s="599"/>
      <c r="C52" s="503" t="s">
        <v>168</v>
      </c>
      <c r="D52" s="491">
        <v>-12</v>
      </c>
      <c r="E52" s="492">
        <v>0.9</v>
      </c>
      <c r="F52" s="504">
        <v>2.1</v>
      </c>
      <c r="G52" s="505"/>
      <c r="H52" s="566">
        <f>F52*E52*D52</f>
        <v>-22.68</v>
      </c>
      <c r="I52" s="495"/>
      <c r="J52" s="496"/>
      <c r="K52" s="496"/>
      <c r="L52" s="489"/>
      <c r="N52" s="497"/>
      <c r="O52" s="498"/>
      <c r="P52" s="498"/>
    </row>
    <row r="53" spans="1:16" ht="15.75">
      <c r="A53" s="598"/>
      <c r="B53" s="599"/>
      <c r="C53" s="503" t="s">
        <v>173</v>
      </c>
      <c r="D53" s="491">
        <v>-12</v>
      </c>
      <c r="E53" s="492">
        <v>1</v>
      </c>
      <c r="F53" s="504">
        <v>1.2</v>
      </c>
      <c r="G53" s="505"/>
      <c r="H53" s="566">
        <f>F53*E53*D53</f>
        <v>-14.399999999999999</v>
      </c>
      <c r="I53" s="495"/>
      <c r="J53" s="496"/>
      <c r="K53" s="496"/>
      <c r="L53" s="489"/>
      <c r="N53" s="497"/>
      <c r="O53" s="498"/>
      <c r="P53" s="498"/>
    </row>
    <row r="54" spans="1:16" ht="15.75">
      <c r="A54" s="598"/>
      <c r="B54" s="599"/>
      <c r="C54" s="503" t="s">
        <v>152</v>
      </c>
      <c r="D54" s="491"/>
      <c r="E54" s="492"/>
      <c r="F54" s="504"/>
      <c r="G54" s="505"/>
      <c r="H54" s="519"/>
      <c r="I54" s="501"/>
      <c r="J54" s="512"/>
      <c r="K54" s="512"/>
      <c r="L54" s="489"/>
      <c r="N54" s="497"/>
      <c r="O54" s="498"/>
      <c r="P54" s="498"/>
    </row>
    <row r="55" spans="1:16" ht="15.75">
      <c r="A55" s="598"/>
      <c r="B55" s="599"/>
      <c r="C55" s="503" t="s">
        <v>169</v>
      </c>
      <c r="D55" s="491">
        <v>-12</v>
      </c>
      <c r="E55" s="492">
        <v>0.8</v>
      </c>
      <c r="F55" s="504">
        <v>2.1</v>
      </c>
      <c r="G55" s="505"/>
      <c r="H55" s="566">
        <f>F55*E55*D55</f>
        <v>-20.160000000000004</v>
      </c>
      <c r="I55" s="495"/>
      <c r="J55" s="496"/>
      <c r="K55" s="496"/>
      <c r="L55" s="489"/>
      <c r="N55" s="497"/>
      <c r="O55" s="498"/>
      <c r="P55" s="498"/>
    </row>
    <row r="56" spans="1:16" ht="15.75">
      <c r="A56" s="598"/>
      <c r="B56" s="599"/>
      <c r="C56" s="503" t="s">
        <v>174</v>
      </c>
      <c r="D56" s="491">
        <v>-12</v>
      </c>
      <c r="E56" s="492">
        <v>0.6</v>
      </c>
      <c r="F56" s="504">
        <v>1.2</v>
      </c>
      <c r="G56" s="505"/>
      <c r="H56" s="566">
        <f>F56*E56*D56</f>
        <v>-8.64</v>
      </c>
      <c r="I56" s="495"/>
      <c r="J56" s="496"/>
      <c r="K56" s="496"/>
      <c r="L56" s="489"/>
      <c r="N56" s="497"/>
      <c r="O56" s="498"/>
      <c r="P56" s="498"/>
    </row>
    <row r="57" spans="1:16" ht="15.75">
      <c r="A57" s="598"/>
      <c r="B57" s="599"/>
      <c r="C57" s="503" t="s">
        <v>153</v>
      </c>
      <c r="D57" s="491"/>
      <c r="E57" s="492"/>
      <c r="F57" s="504"/>
      <c r="G57" s="505"/>
      <c r="H57" s="519"/>
      <c r="I57" s="501"/>
      <c r="J57" s="512"/>
      <c r="K57" s="512"/>
      <c r="L57" s="489"/>
      <c r="N57" s="497"/>
      <c r="O57" s="498"/>
      <c r="P57" s="498"/>
    </row>
    <row r="58" spans="1:16" ht="15.75">
      <c r="A58" s="598"/>
      <c r="B58" s="599"/>
      <c r="C58" s="503" t="s">
        <v>170</v>
      </c>
      <c r="D58" s="491">
        <v>-12</v>
      </c>
      <c r="E58" s="492">
        <v>0.8</v>
      </c>
      <c r="F58" s="504">
        <v>2.1</v>
      </c>
      <c r="G58" s="505"/>
      <c r="H58" s="566">
        <f>F58*E58*D58</f>
        <v>-20.160000000000004</v>
      </c>
      <c r="I58" s="495"/>
      <c r="J58" s="496"/>
      <c r="K58" s="496"/>
      <c r="L58" s="489"/>
      <c r="N58" s="497"/>
      <c r="O58" s="498"/>
      <c r="P58" s="498"/>
    </row>
    <row r="59" spans="1:16" ht="15.75">
      <c r="A59" s="598"/>
      <c r="B59" s="599"/>
      <c r="C59" s="503" t="s">
        <v>174</v>
      </c>
      <c r="D59" s="491">
        <v>-12</v>
      </c>
      <c r="E59" s="492">
        <v>0.6</v>
      </c>
      <c r="F59" s="504">
        <v>1.2</v>
      </c>
      <c r="G59" s="505"/>
      <c r="H59" s="566">
        <f>F59*E59*D59</f>
        <v>-8.64</v>
      </c>
      <c r="I59" s="495"/>
      <c r="J59" s="496"/>
      <c r="K59" s="496"/>
      <c r="L59" s="489"/>
      <c r="N59" s="497"/>
      <c r="O59" s="498"/>
      <c r="P59" s="498"/>
    </row>
    <row r="60" spans="1:16" ht="15.75">
      <c r="A60" s="598"/>
      <c r="B60" s="599"/>
      <c r="C60" s="503" t="s">
        <v>151</v>
      </c>
      <c r="D60" s="491"/>
      <c r="E60" s="492"/>
      <c r="F60" s="504"/>
      <c r="G60" s="505"/>
      <c r="H60" s="519"/>
      <c r="I60" s="501"/>
      <c r="J60" s="512"/>
      <c r="K60" s="512"/>
      <c r="L60" s="489"/>
      <c r="N60" s="497"/>
      <c r="O60" s="498"/>
      <c r="P60" s="498"/>
    </row>
    <row r="61" spans="1:16" ht="15.75">
      <c r="A61" s="598"/>
      <c r="B61" s="599"/>
      <c r="C61" s="503" t="s">
        <v>169</v>
      </c>
      <c r="D61" s="491">
        <v>-12</v>
      </c>
      <c r="E61" s="492">
        <v>0.9</v>
      </c>
      <c r="F61" s="504">
        <v>2.1</v>
      </c>
      <c r="G61" s="505"/>
      <c r="H61" s="566">
        <f>F61*E61*D61</f>
        <v>-22.68</v>
      </c>
      <c r="I61" s="495"/>
      <c r="J61" s="496"/>
      <c r="K61" s="496"/>
      <c r="L61" s="489"/>
      <c r="N61" s="497"/>
      <c r="O61" s="498"/>
      <c r="P61" s="498"/>
    </row>
    <row r="62" spans="1:16" ht="15.75">
      <c r="A62" s="598"/>
      <c r="B62" s="599"/>
      <c r="C62" s="503" t="s">
        <v>170</v>
      </c>
      <c r="D62" s="491">
        <v>-12</v>
      </c>
      <c r="E62" s="492">
        <v>0.8</v>
      </c>
      <c r="F62" s="504">
        <v>2.1</v>
      </c>
      <c r="G62" s="505"/>
      <c r="H62" s="571">
        <f>F62*E62*D62</f>
        <v>-20.160000000000004</v>
      </c>
      <c r="I62" s="495"/>
      <c r="J62" s="496"/>
      <c r="K62" s="496"/>
      <c r="L62" s="489"/>
      <c r="N62" s="497"/>
      <c r="O62" s="498"/>
      <c r="P62" s="498"/>
    </row>
    <row r="63" spans="1:16" ht="15.75">
      <c r="A63" s="598"/>
      <c r="B63" s="599"/>
      <c r="C63" s="503"/>
      <c r="D63" s="491"/>
      <c r="E63" s="492"/>
      <c r="F63" s="964" t="s">
        <v>495</v>
      </c>
      <c r="G63" s="965"/>
      <c r="H63" s="570">
        <f>SUM(H31:H62)</f>
        <v>1027.5088999999994</v>
      </c>
      <c r="I63" s="507"/>
      <c r="J63" s="512"/>
      <c r="K63" s="512"/>
      <c r="L63" s="489"/>
      <c r="N63" s="497"/>
      <c r="O63" s="498"/>
      <c r="P63" s="498"/>
    </row>
    <row r="64" spans="1:16" ht="15.75">
      <c r="A64" s="598"/>
      <c r="B64" s="599"/>
      <c r="C64" s="528" t="s">
        <v>295</v>
      </c>
      <c r="D64" s="529"/>
      <c r="E64" s="529"/>
      <c r="F64" s="529"/>
      <c r="G64" s="529"/>
      <c r="H64" s="519"/>
      <c r="I64" s="501"/>
      <c r="J64" s="512"/>
      <c r="K64" s="512"/>
      <c r="L64" s="489"/>
      <c r="N64" s="497"/>
      <c r="O64" s="498"/>
      <c r="P64" s="498"/>
    </row>
    <row r="65" spans="1:16" ht="15.75">
      <c r="A65" s="598"/>
      <c r="B65" s="599" t="s">
        <v>299</v>
      </c>
      <c r="C65" s="502" t="s">
        <v>179</v>
      </c>
      <c r="D65" s="529"/>
      <c r="E65" s="529"/>
      <c r="F65" s="529"/>
      <c r="G65" s="529"/>
      <c r="H65" s="519"/>
      <c r="I65" s="501"/>
      <c r="J65" s="512"/>
      <c r="K65" s="512"/>
      <c r="L65" s="489"/>
      <c r="N65" s="497"/>
      <c r="O65" s="498"/>
      <c r="P65" s="498"/>
    </row>
    <row r="66" spans="1:16" ht="15.75">
      <c r="A66" s="598"/>
      <c r="B66" s="599"/>
      <c r="C66" s="503" t="s">
        <v>180</v>
      </c>
      <c r="D66" s="530">
        <v>2</v>
      </c>
      <c r="E66" s="530">
        <v>20.309999999999999</v>
      </c>
      <c r="F66" s="531">
        <v>10.7</v>
      </c>
      <c r="G66" s="532"/>
      <c r="H66" s="566">
        <f>F66*E66*D66</f>
        <v>434.63399999999996</v>
      </c>
      <c r="I66" s="495"/>
      <c r="J66" s="496"/>
      <c r="K66" s="496"/>
      <c r="L66" s="489"/>
      <c r="N66" s="497"/>
      <c r="O66" s="498"/>
      <c r="P66" s="498"/>
    </row>
    <row r="67" spans="1:16" ht="15.75">
      <c r="A67" s="598"/>
      <c r="B67" s="599"/>
      <c r="C67" s="503" t="s">
        <v>181</v>
      </c>
      <c r="D67" s="530" t="s">
        <v>131</v>
      </c>
      <c r="E67" s="531">
        <v>1.33</v>
      </c>
      <c r="F67" s="531">
        <v>8</v>
      </c>
      <c r="G67" s="532"/>
      <c r="H67" s="566">
        <f>F67*E67*2*4</f>
        <v>85.12</v>
      </c>
      <c r="I67" s="495"/>
      <c r="J67" s="496"/>
      <c r="K67" s="496"/>
      <c r="L67" s="489"/>
      <c r="N67" s="497"/>
      <c r="O67" s="498"/>
      <c r="P67" s="498"/>
    </row>
    <row r="68" spans="1:16" ht="15.75">
      <c r="A68" s="598"/>
      <c r="B68" s="599"/>
      <c r="C68" s="503" t="s">
        <v>182</v>
      </c>
      <c r="D68" s="530">
        <v>2</v>
      </c>
      <c r="E68" s="531">
        <v>1.2</v>
      </c>
      <c r="F68" s="531">
        <v>2.15</v>
      </c>
      <c r="G68" s="532"/>
      <c r="H68" s="566">
        <f>F68*E68*D68</f>
        <v>5.1599999999999993</v>
      </c>
      <c r="I68" s="495"/>
      <c r="J68" s="496"/>
      <c r="K68" s="496"/>
      <c r="L68" s="489"/>
      <c r="N68" s="497"/>
      <c r="O68" s="498"/>
      <c r="P68" s="498"/>
    </row>
    <row r="69" spans="1:16" ht="15.75">
      <c r="A69" s="598"/>
      <c r="B69" s="599"/>
      <c r="C69" s="503" t="s">
        <v>183</v>
      </c>
      <c r="D69" s="530">
        <v>2</v>
      </c>
      <c r="E69" s="531">
        <v>6.7</v>
      </c>
      <c r="F69" s="531">
        <v>8</v>
      </c>
      <c r="G69" s="532"/>
      <c r="H69" s="566">
        <f>F69*E69*D69</f>
        <v>107.2</v>
      </c>
      <c r="I69" s="495"/>
      <c r="J69" s="496"/>
      <c r="K69" s="496"/>
      <c r="L69" s="489"/>
      <c r="N69" s="497"/>
      <c r="O69" s="498"/>
      <c r="P69" s="498"/>
    </row>
    <row r="70" spans="1:16" ht="15.75">
      <c r="A70" s="598"/>
      <c r="B70" s="599"/>
      <c r="C70" s="503" t="s">
        <v>184</v>
      </c>
      <c r="D70" s="533"/>
      <c r="E70" s="533"/>
      <c r="F70" s="533"/>
      <c r="G70" s="529"/>
      <c r="H70" s="519"/>
      <c r="I70" s="501"/>
      <c r="J70" s="512"/>
      <c r="K70" s="512"/>
      <c r="L70" s="489"/>
      <c r="N70" s="497"/>
      <c r="O70" s="498"/>
      <c r="P70" s="498"/>
    </row>
    <row r="71" spans="1:16" ht="15.75">
      <c r="A71" s="598"/>
      <c r="B71" s="599"/>
      <c r="C71" s="503" t="s">
        <v>185</v>
      </c>
      <c r="D71" s="530">
        <v>2</v>
      </c>
      <c r="E71" s="531">
        <v>2.35</v>
      </c>
      <c r="F71" s="531">
        <v>8</v>
      </c>
      <c r="G71" s="532"/>
      <c r="H71" s="566">
        <f>F71*E71*D71</f>
        <v>37.6</v>
      </c>
      <c r="I71" s="495"/>
      <c r="J71" s="496"/>
      <c r="K71" s="496"/>
      <c r="L71" s="489"/>
      <c r="N71" s="497"/>
      <c r="O71" s="498"/>
      <c r="P71" s="498"/>
    </row>
    <row r="72" spans="1:16" ht="15.75">
      <c r="A72" s="598"/>
      <c r="B72" s="599"/>
      <c r="C72" s="503" t="s">
        <v>186</v>
      </c>
      <c r="D72" s="530">
        <v>2</v>
      </c>
      <c r="E72" s="531">
        <v>2.35</v>
      </c>
      <c r="F72" s="531">
        <v>1.6</v>
      </c>
      <c r="G72" s="532"/>
      <c r="H72" s="566">
        <f>F72*E72*D72</f>
        <v>7.5200000000000005</v>
      </c>
      <c r="I72" s="495"/>
      <c r="J72" s="496"/>
      <c r="K72" s="496"/>
      <c r="L72" s="489"/>
      <c r="N72" s="497"/>
      <c r="O72" s="498"/>
      <c r="P72" s="498"/>
    </row>
    <row r="73" spans="1:16" ht="15.75">
      <c r="A73" s="598"/>
      <c r="B73" s="599"/>
      <c r="C73" s="503" t="s">
        <v>187</v>
      </c>
      <c r="D73" s="530">
        <v>2</v>
      </c>
      <c r="E73" s="531">
        <v>0.7</v>
      </c>
      <c r="F73" s="531">
        <v>8</v>
      </c>
      <c r="G73" s="532"/>
      <c r="H73" s="566">
        <f>F73*E73*D73</f>
        <v>11.2</v>
      </c>
      <c r="I73" s="495"/>
      <c r="J73" s="496"/>
      <c r="K73" s="496"/>
      <c r="L73" s="489"/>
      <c r="N73" s="497"/>
      <c r="O73" s="498"/>
      <c r="P73" s="498"/>
    </row>
    <row r="74" spans="1:16" ht="15.75">
      <c r="A74" s="598"/>
      <c r="B74" s="599"/>
      <c r="C74" s="503"/>
      <c r="D74" s="530">
        <v>2</v>
      </c>
      <c r="E74" s="531">
        <v>0.7</v>
      </c>
      <c r="F74" s="531">
        <v>1.6</v>
      </c>
      <c r="G74" s="532"/>
      <c r="H74" s="566">
        <f>F74*E74*D74</f>
        <v>2.2399999999999998</v>
      </c>
      <c r="I74" s="495"/>
      <c r="J74" s="496"/>
      <c r="K74" s="496"/>
      <c r="L74" s="489"/>
      <c r="N74" s="497"/>
      <c r="O74" s="498"/>
      <c r="P74" s="498"/>
    </row>
    <row r="75" spans="1:16" ht="15.75">
      <c r="A75" s="598"/>
      <c r="B75" s="599"/>
      <c r="C75" s="503" t="s">
        <v>188</v>
      </c>
      <c r="D75" s="533"/>
      <c r="E75" s="533"/>
      <c r="F75" s="533"/>
      <c r="G75" s="529"/>
      <c r="H75" s="519"/>
      <c r="I75" s="501"/>
      <c r="J75" s="512"/>
      <c r="K75" s="512"/>
      <c r="L75" s="489"/>
      <c r="N75" s="497"/>
      <c r="O75" s="498"/>
      <c r="P75" s="498"/>
    </row>
    <row r="76" spans="1:16" ht="15.75">
      <c r="A76" s="598"/>
      <c r="B76" s="599"/>
      <c r="C76" s="503" t="s">
        <v>189</v>
      </c>
      <c r="D76" s="530">
        <v>2</v>
      </c>
      <c r="E76" s="531">
        <v>3.5</v>
      </c>
      <c r="F76" s="531">
        <v>3.2</v>
      </c>
      <c r="G76" s="532"/>
      <c r="H76" s="566">
        <f>F76*E76*D76</f>
        <v>22.400000000000002</v>
      </c>
      <c r="I76" s="495"/>
      <c r="J76" s="496"/>
      <c r="K76" s="496"/>
      <c r="L76" s="489"/>
      <c r="N76" s="497"/>
      <c r="O76" s="498"/>
      <c r="P76" s="498"/>
    </row>
    <row r="77" spans="1:16" ht="15.75">
      <c r="A77" s="598"/>
      <c r="B77" s="599"/>
      <c r="C77" s="503" t="s">
        <v>190</v>
      </c>
      <c r="D77" s="530">
        <v>2</v>
      </c>
      <c r="E77" s="531">
        <v>2.7</v>
      </c>
      <c r="F77" s="531">
        <v>1.6</v>
      </c>
      <c r="G77" s="532"/>
      <c r="H77" s="566">
        <f>F77*E77*D77</f>
        <v>8.64</v>
      </c>
      <c r="I77" s="495"/>
      <c r="J77" s="496"/>
      <c r="K77" s="496"/>
      <c r="L77" s="489"/>
      <c r="N77" s="497"/>
      <c r="O77" s="498"/>
      <c r="P77" s="498"/>
    </row>
    <row r="78" spans="1:16" ht="15.75">
      <c r="A78" s="598"/>
      <c r="B78" s="599"/>
      <c r="C78" s="503" t="s">
        <v>195</v>
      </c>
      <c r="D78" s="533"/>
      <c r="E78" s="533"/>
      <c r="F78" s="533"/>
      <c r="G78" s="529"/>
      <c r="H78" s="519"/>
      <c r="I78" s="501"/>
      <c r="J78" s="512"/>
      <c r="K78" s="512"/>
      <c r="L78" s="489"/>
      <c r="N78" s="497"/>
      <c r="O78" s="498"/>
      <c r="P78" s="498"/>
    </row>
    <row r="79" spans="1:16" ht="15.75">
      <c r="A79" s="598"/>
      <c r="B79" s="599"/>
      <c r="C79" s="503" t="s">
        <v>192</v>
      </c>
      <c r="D79" s="530" t="s">
        <v>191</v>
      </c>
      <c r="E79" s="531">
        <v>2.2000000000000002</v>
      </c>
      <c r="F79" s="531">
        <v>0.8</v>
      </c>
      <c r="G79" s="534"/>
      <c r="H79" s="566">
        <f>F79*E79*2*8</f>
        <v>28.160000000000004</v>
      </c>
      <c r="I79" s="495"/>
      <c r="J79" s="496"/>
      <c r="K79" s="496"/>
      <c r="L79" s="489"/>
      <c r="N79" s="497"/>
      <c r="O79" s="498"/>
      <c r="P79" s="498"/>
    </row>
    <row r="80" spans="1:16" ht="15.75">
      <c r="A80" s="598"/>
      <c r="B80" s="599"/>
      <c r="C80" s="503" t="s">
        <v>193</v>
      </c>
      <c r="D80" s="530" t="s">
        <v>191</v>
      </c>
      <c r="E80" s="531">
        <v>1</v>
      </c>
      <c r="F80" s="531">
        <v>0.1</v>
      </c>
      <c r="G80" s="534"/>
      <c r="H80" s="566">
        <f>F80*E80*2*8</f>
        <v>1.6</v>
      </c>
      <c r="I80" s="495"/>
      <c r="J80" s="496"/>
      <c r="K80" s="496"/>
      <c r="L80" s="489"/>
      <c r="N80" s="497"/>
      <c r="O80" s="498"/>
      <c r="P80" s="498"/>
    </row>
    <row r="81" spans="1:16" ht="15.75">
      <c r="A81" s="598"/>
      <c r="B81" s="599"/>
      <c r="C81" s="503" t="s">
        <v>194</v>
      </c>
      <c r="D81" s="530">
        <v>8</v>
      </c>
      <c r="E81" s="531">
        <v>2.2000000000000002</v>
      </c>
      <c r="F81" s="531">
        <v>0.6</v>
      </c>
      <c r="G81" s="532"/>
      <c r="H81" s="566">
        <f>F81*E81*D81</f>
        <v>10.56</v>
      </c>
      <c r="I81" s="495"/>
      <c r="J81" s="496"/>
      <c r="K81" s="496"/>
      <c r="L81" s="489"/>
      <c r="N81" s="497"/>
      <c r="O81" s="498"/>
      <c r="P81" s="498"/>
    </row>
    <row r="82" spans="1:16" ht="15.75">
      <c r="A82" s="598"/>
      <c r="B82" s="599"/>
      <c r="C82" s="503" t="s">
        <v>196</v>
      </c>
      <c r="D82" s="533"/>
      <c r="E82" s="533"/>
      <c r="F82" s="533"/>
      <c r="G82" s="529"/>
      <c r="H82" s="519"/>
      <c r="I82" s="501"/>
      <c r="J82" s="512"/>
      <c r="K82" s="512"/>
      <c r="L82" s="489"/>
      <c r="N82" s="497"/>
      <c r="O82" s="498"/>
      <c r="P82" s="498"/>
    </row>
    <row r="83" spans="1:16" ht="15.75">
      <c r="A83" s="598"/>
      <c r="B83" s="599"/>
      <c r="C83" s="503" t="s">
        <v>192</v>
      </c>
      <c r="D83" s="530" t="s">
        <v>191</v>
      </c>
      <c r="E83" s="531">
        <v>1.1000000000000001</v>
      </c>
      <c r="F83" s="531">
        <v>0.8</v>
      </c>
      <c r="G83" s="534"/>
      <c r="H83" s="566">
        <f>F83*E83*2*8</f>
        <v>14.080000000000002</v>
      </c>
      <c r="I83" s="495"/>
      <c r="J83" s="496"/>
      <c r="K83" s="496"/>
      <c r="L83" s="489"/>
      <c r="N83" s="497"/>
      <c r="O83" s="498"/>
      <c r="P83" s="498"/>
    </row>
    <row r="84" spans="1:16" ht="15.75">
      <c r="A84" s="598"/>
      <c r="B84" s="599"/>
      <c r="C84" s="503" t="s">
        <v>193</v>
      </c>
      <c r="D84" s="530" t="s">
        <v>191</v>
      </c>
      <c r="E84" s="531">
        <v>1</v>
      </c>
      <c r="F84" s="531">
        <v>0.1</v>
      </c>
      <c r="G84" s="534"/>
      <c r="H84" s="566">
        <f>F84*E84*2*8</f>
        <v>1.6</v>
      </c>
      <c r="I84" s="495"/>
      <c r="J84" s="496"/>
      <c r="K84" s="496"/>
      <c r="L84" s="489"/>
      <c r="N84" s="497"/>
      <c r="O84" s="498"/>
      <c r="P84" s="498"/>
    </row>
    <row r="85" spans="1:16" ht="15.75">
      <c r="A85" s="598"/>
      <c r="B85" s="599"/>
      <c r="C85" s="503" t="s">
        <v>194</v>
      </c>
      <c r="D85" s="530">
        <v>8</v>
      </c>
      <c r="E85" s="531">
        <v>1.1000000000000001</v>
      </c>
      <c r="F85" s="531">
        <v>0.6</v>
      </c>
      <c r="G85" s="532"/>
      <c r="H85" s="566">
        <f>F85*E85*D85</f>
        <v>5.28</v>
      </c>
      <c r="I85" s="495"/>
      <c r="J85" s="496"/>
      <c r="K85" s="496"/>
      <c r="L85" s="489"/>
      <c r="N85" s="497"/>
      <c r="O85" s="498"/>
      <c r="P85" s="498"/>
    </row>
    <row r="86" spans="1:16" ht="15.75">
      <c r="A86" s="598"/>
      <c r="B86" s="599"/>
      <c r="C86" s="503" t="s">
        <v>197</v>
      </c>
      <c r="D86" s="535"/>
      <c r="E86" s="535"/>
      <c r="F86" s="535"/>
      <c r="G86" s="532"/>
      <c r="H86" s="566"/>
      <c r="I86" s="495"/>
      <c r="J86" s="492"/>
      <c r="K86" s="492"/>
      <c r="L86" s="489"/>
      <c r="N86" s="497"/>
      <c r="O86" s="498"/>
      <c r="P86" s="498"/>
    </row>
    <row r="87" spans="1:16" ht="15.75">
      <c r="A87" s="598"/>
      <c r="B87" s="599"/>
      <c r="C87" s="503" t="s">
        <v>192</v>
      </c>
      <c r="D87" s="530" t="s">
        <v>191</v>
      </c>
      <c r="E87" s="531">
        <v>1.6</v>
      </c>
      <c r="F87" s="531">
        <v>0.8</v>
      </c>
      <c r="G87" s="534"/>
      <c r="H87" s="566">
        <f>F87*E87*2*8</f>
        <v>20.480000000000004</v>
      </c>
      <c r="I87" s="495"/>
      <c r="J87" s="496"/>
      <c r="K87" s="496"/>
      <c r="L87" s="489"/>
      <c r="N87" s="497"/>
      <c r="O87" s="498"/>
      <c r="P87" s="498"/>
    </row>
    <row r="88" spans="1:16" ht="15.75">
      <c r="A88" s="598"/>
      <c r="B88" s="599"/>
      <c r="C88" s="503" t="s">
        <v>193</v>
      </c>
      <c r="D88" s="530" t="s">
        <v>191</v>
      </c>
      <c r="E88" s="531">
        <v>1</v>
      </c>
      <c r="F88" s="531">
        <v>0.1</v>
      </c>
      <c r="G88" s="534"/>
      <c r="H88" s="566">
        <f>F88*E88*2*8</f>
        <v>1.6</v>
      </c>
      <c r="I88" s="495"/>
      <c r="J88" s="496"/>
      <c r="K88" s="496"/>
      <c r="L88" s="489"/>
      <c r="N88" s="497"/>
      <c r="O88" s="498"/>
      <c r="P88" s="498"/>
    </row>
    <row r="89" spans="1:16" ht="15.75">
      <c r="A89" s="598"/>
      <c r="B89" s="599"/>
      <c r="C89" s="503" t="s">
        <v>194</v>
      </c>
      <c r="D89" s="530">
        <v>8</v>
      </c>
      <c r="E89" s="531">
        <v>1.6</v>
      </c>
      <c r="F89" s="531">
        <v>0.6</v>
      </c>
      <c r="G89" s="532"/>
      <c r="H89" s="566">
        <f>F89*E89*D89</f>
        <v>7.68</v>
      </c>
      <c r="I89" s="495"/>
      <c r="J89" s="496"/>
      <c r="K89" s="496"/>
      <c r="L89" s="489"/>
      <c r="N89" s="497"/>
      <c r="O89" s="498"/>
      <c r="P89" s="498"/>
    </row>
    <row r="90" spans="1:16" ht="15.75">
      <c r="A90" s="598"/>
      <c r="B90" s="599"/>
      <c r="C90" s="503" t="s">
        <v>198</v>
      </c>
      <c r="D90" s="535"/>
      <c r="E90" s="535"/>
      <c r="F90" s="535"/>
      <c r="G90" s="532"/>
      <c r="H90" s="566"/>
      <c r="I90" s="495"/>
      <c r="J90" s="492"/>
      <c r="K90" s="492"/>
      <c r="L90" s="489"/>
      <c r="N90" s="497"/>
      <c r="O90" s="498"/>
      <c r="P90" s="498"/>
    </row>
    <row r="91" spans="1:16" ht="15.75">
      <c r="A91" s="598"/>
      <c r="B91" s="599"/>
      <c r="C91" s="503" t="s">
        <v>192</v>
      </c>
      <c r="D91" s="530">
        <v>2</v>
      </c>
      <c r="E91" s="531">
        <v>2.7</v>
      </c>
      <c r="F91" s="531">
        <v>0.8</v>
      </c>
      <c r="G91" s="534"/>
      <c r="H91" s="566">
        <f>F91*E91*D91</f>
        <v>4.32</v>
      </c>
      <c r="I91" s="495"/>
      <c r="J91" s="496"/>
      <c r="K91" s="496"/>
      <c r="L91" s="489"/>
      <c r="N91" s="497"/>
      <c r="O91" s="498"/>
      <c r="P91" s="498"/>
    </row>
    <row r="92" spans="1:16" ht="15.75">
      <c r="A92" s="598"/>
      <c r="B92" s="599"/>
      <c r="C92" s="503" t="s">
        <v>194</v>
      </c>
      <c r="D92" s="530">
        <v>1</v>
      </c>
      <c r="E92" s="531">
        <v>2.7</v>
      </c>
      <c r="F92" s="531">
        <v>0.9</v>
      </c>
      <c r="G92" s="532"/>
      <c r="H92" s="566">
        <f>F92*E92*D92</f>
        <v>2.4300000000000002</v>
      </c>
      <c r="I92" s="495"/>
      <c r="J92" s="496"/>
      <c r="K92" s="496"/>
      <c r="L92" s="489"/>
      <c r="N92" s="497"/>
      <c r="O92" s="498"/>
      <c r="P92" s="498"/>
    </row>
    <row r="93" spans="1:16" ht="15.75">
      <c r="A93" s="598"/>
      <c r="B93" s="599"/>
      <c r="C93" s="503" t="s">
        <v>199</v>
      </c>
      <c r="D93" s="535"/>
      <c r="E93" s="535"/>
      <c r="F93" s="535"/>
      <c r="G93" s="532"/>
      <c r="H93" s="566"/>
      <c r="I93" s="495"/>
      <c r="J93" s="492"/>
      <c r="K93" s="492"/>
      <c r="L93" s="489"/>
      <c r="N93" s="497"/>
      <c r="O93" s="498"/>
      <c r="P93" s="498"/>
    </row>
    <row r="94" spans="1:16" ht="15.75">
      <c r="A94" s="598"/>
      <c r="B94" s="599"/>
      <c r="C94" s="503" t="s">
        <v>192</v>
      </c>
      <c r="D94" s="530" t="s">
        <v>165</v>
      </c>
      <c r="E94" s="531">
        <v>2.15</v>
      </c>
      <c r="F94" s="531">
        <v>0.7</v>
      </c>
      <c r="G94" s="534"/>
      <c r="H94" s="566">
        <f>F94*E94*2*4</f>
        <v>12.04</v>
      </c>
      <c r="I94" s="495"/>
      <c r="J94" s="496"/>
      <c r="K94" s="496"/>
      <c r="L94" s="489"/>
      <c r="N94" s="497"/>
      <c r="O94" s="498"/>
      <c r="P94" s="498"/>
    </row>
    <row r="95" spans="1:16" ht="15.75">
      <c r="A95" s="598"/>
      <c r="B95" s="599"/>
      <c r="C95" s="503" t="s">
        <v>194</v>
      </c>
      <c r="D95" s="530">
        <v>4</v>
      </c>
      <c r="E95" s="531">
        <v>2.15</v>
      </c>
      <c r="F95" s="531">
        <v>0.7</v>
      </c>
      <c r="G95" s="532"/>
      <c r="H95" s="566">
        <f>F95*E95*D95</f>
        <v>6.02</v>
      </c>
      <c r="I95" s="495"/>
      <c r="J95" s="496"/>
      <c r="K95" s="496"/>
      <c r="L95" s="489"/>
      <c r="N95" s="497"/>
      <c r="O95" s="498"/>
      <c r="P95" s="498"/>
    </row>
    <row r="96" spans="1:16" ht="15.75">
      <c r="A96" s="598"/>
      <c r="B96" s="599"/>
      <c r="C96" s="503" t="s">
        <v>200</v>
      </c>
      <c r="D96" s="530">
        <v>2</v>
      </c>
      <c r="E96" s="531">
        <v>22.85</v>
      </c>
      <c r="F96" s="531">
        <v>1</v>
      </c>
      <c r="G96" s="532"/>
      <c r="H96" s="566">
        <f>F96*E96*D96</f>
        <v>45.7</v>
      </c>
      <c r="I96" s="495"/>
      <c r="J96" s="496"/>
      <c r="K96" s="496"/>
      <c r="L96" s="489"/>
      <c r="N96" s="497"/>
      <c r="O96" s="498"/>
      <c r="P96" s="498"/>
    </row>
    <row r="97" spans="1:16" ht="15.75">
      <c r="A97" s="598"/>
      <c r="B97" s="599"/>
      <c r="C97" s="503" t="s">
        <v>201</v>
      </c>
      <c r="D97" s="530">
        <v>2</v>
      </c>
      <c r="E97" s="531">
        <v>22.85</v>
      </c>
      <c r="F97" s="531">
        <v>0.3</v>
      </c>
      <c r="G97" s="532"/>
      <c r="H97" s="566">
        <f>F97*E97*D97</f>
        <v>13.71</v>
      </c>
      <c r="I97" s="495"/>
      <c r="J97" s="496"/>
      <c r="K97" s="496"/>
      <c r="L97" s="489"/>
      <c r="N97" s="497"/>
      <c r="O97" s="498"/>
      <c r="P97" s="498"/>
    </row>
    <row r="98" spans="1:16" ht="15.75">
      <c r="A98" s="598"/>
      <c r="B98" s="599"/>
      <c r="C98" s="503" t="s">
        <v>202</v>
      </c>
      <c r="D98" s="530">
        <v>2</v>
      </c>
      <c r="E98" s="531">
        <v>6.25</v>
      </c>
      <c r="F98" s="531">
        <v>1</v>
      </c>
      <c r="G98" s="532"/>
      <c r="H98" s="566">
        <f>F98*E98*D98</f>
        <v>12.5</v>
      </c>
      <c r="I98" s="495"/>
      <c r="J98" s="496"/>
      <c r="K98" s="496"/>
      <c r="L98" s="489"/>
      <c r="N98" s="497"/>
      <c r="O98" s="498"/>
      <c r="P98" s="498"/>
    </row>
    <row r="99" spans="1:16" ht="15.75">
      <c r="A99" s="598"/>
      <c r="B99" s="599"/>
      <c r="C99" s="503" t="s">
        <v>203</v>
      </c>
      <c r="D99" s="530">
        <v>2</v>
      </c>
      <c r="E99" s="531">
        <v>6.25</v>
      </c>
      <c r="F99" s="531">
        <v>0.3</v>
      </c>
      <c r="G99" s="532"/>
      <c r="H99" s="566">
        <f>F99*E99*D99</f>
        <v>3.75</v>
      </c>
      <c r="I99" s="495"/>
      <c r="J99" s="496"/>
      <c r="K99" s="496"/>
      <c r="L99" s="489"/>
      <c r="N99" s="497"/>
      <c r="O99" s="498"/>
      <c r="P99" s="498"/>
    </row>
    <row r="100" spans="1:16" ht="15.75">
      <c r="A100" s="598"/>
      <c r="B100" s="599"/>
      <c r="C100" s="513" t="s">
        <v>167</v>
      </c>
      <c r="D100" s="491"/>
      <c r="E100" s="492"/>
      <c r="F100" s="504"/>
      <c r="G100" s="505"/>
      <c r="H100" s="519"/>
      <c r="I100" s="501"/>
      <c r="J100" s="512"/>
      <c r="K100" s="512"/>
      <c r="L100" s="489"/>
      <c r="N100" s="497"/>
      <c r="O100" s="498"/>
      <c r="P100" s="498"/>
    </row>
    <row r="101" spans="1:16" ht="15.75">
      <c r="A101" s="598"/>
      <c r="B101" s="599"/>
      <c r="C101" s="503" t="s">
        <v>149</v>
      </c>
      <c r="D101" s="491"/>
      <c r="E101" s="492"/>
      <c r="F101" s="504"/>
      <c r="G101" s="505"/>
      <c r="H101" s="519"/>
      <c r="I101" s="501"/>
      <c r="J101" s="512"/>
      <c r="K101" s="512"/>
      <c r="L101" s="489"/>
      <c r="N101" s="497"/>
      <c r="O101" s="498"/>
      <c r="P101" s="498"/>
    </row>
    <row r="102" spans="1:16" ht="15.75">
      <c r="A102" s="598"/>
      <c r="B102" s="599"/>
      <c r="C102" s="503" t="s">
        <v>171</v>
      </c>
      <c r="D102" s="491">
        <v>-12</v>
      </c>
      <c r="E102" s="492">
        <v>1.5</v>
      </c>
      <c r="F102" s="504">
        <v>1.2</v>
      </c>
      <c r="G102" s="505"/>
      <c r="H102" s="566">
        <f>F102*E102*D102</f>
        <v>-21.599999999999998</v>
      </c>
      <c r="I102" s="495"/>
      <c r="J102" s="496"/>
      <c r="K102" s="496"/>
      <c r="L102" s="489"/>
      <c r="N102" s="497"/>
      <c r="O102" s="498"/>
      <c r="P102" s="498"/>
    </row>
    <row r="103" spans="1:16" ht="15.75">
      <c r="A103" s="598"/>
      <c r="B103" s="599"/>
      <c r="C103" s="503" t="s">
        <v>172</v>
      </c>
      <c r="D103" s="491"/>
      <c r="E103" s="492"/>
      <c r="F103" s="504"/>
      <c r="G103" s="505"/>
      <c r="H103" s="519"/>
      <c r="I103" s="501"/>
      <c r="J103" s="512"/>
      <c r="K103" s="512"/>
      <c r="L103" s="489"/>
      <c r="N103" s="497"/>
      <c r="O103" s="498"/>
      <c r="P103" s="498"/>
    </row>
    <row r="104" spans="1:16" ht="15.75">
      <c r="A104" s="598"/>
      <c r="B104" s="599"/>
      <c r="C104" s="503" t="s">
        <v>173</v>
      </c>
      <c r="D104" s="491">
        <v>-12</v>
      </c>
      <c r="E104" s="492">
        <v>1</v>
      </c>
      <c r="F104" s="504">
        <v>1.2</v>
      </c>
      <c r="G104" s="505"/>
      <c r="H104" s="566">
        <f>F104*E104*D104</f>
        <v>-14.399999999999999</v>
      </c>
      <c r="I104" s="495"/>
      <c r="J104" s="496"/>
      <c r="K104" s="496"/>
      <c r="L104" s="489"/>
      <c r="N104" s="497"/>
      <c r="O104" s="498"/>
      <c r="P104" s="498"/>
    </row>
    <row r="105" spans="1:16" ht="15.75">
      <c r="A105" s="598"/>
      <c r="B105" s="599"/>
      <c r="C105" s="503" t="s">
        <v>174</v>
      </c>
      <c r="D105" s="491">
        <v>-12</v>
      </c>
      <c r="E105" s="492">
        <v>0.6</v>
      </c>
      <c r="F105" s="504">
        <v>1.2</v>
      </c>
      <c r="G105" s="505"/>
      <c r="H105" s="566">
        <f>F105*E105*D105</f>
        <v>-8.64</v>
      </c>
      <c r="I105" s="495"/>
      <c r="J105" s="496"/>
      <c r="K105" s="496"/>
      <c r="L105" s="489"/>
      <c r="N105" s="497"/>
      <c r="O105" s="498"/>
      <c r="P105" s="498"/>
    </row>
    <row r="106" spans="1:16" ht="15.75">
      <c r="A106" s="598"/>
      <c r="B106" s="599"/>
      <c r="C106" s="503" t="s">
        <v>204</v>
      </c>
      <c r="D106" s="491"/>
      <c r="E106" s="492"/>
      <c r="F106" s="504"/>
      <c r="G106" s="505"/>
      <c r="H106" s="519"/>
      <c r="I106" s="501"/>
      <c r="J106" s="512"/>
      <c r="K106" s="512"/>
      <c r="L106" s="489"/>
      <c r="N106" s="497"/>
      <c r="O106" s="498"/>
      <c r="P106" s="498"/>
    </row>
    <row r="107" spans="1:16" ht="15.75">
      <c r="A107" s="598"/>
      <c r="B107" s="599"/>
      <c r="C107" s="503" t="s">
        <v>175</v>
      </c>
      <c r="D107" s="491">
        <f>-8*2</f>
        <v>-16</v>
      </c>
      <c r="E107" s="492">
        <v>0.6</v>
      </c>
      <c r="F107" s="504">
        <v>0.9</v>
      </c>
      <c r="G107" s="505"/>
      <c r="H107" s="566">
        <f>F107*E107*D107</f>
        <v>-8.64</v>
      </c>
      <c r="I107" s="495"/>
      <c r="J107" s="496"/>
      <c r="K107" s="496"/>
      <c r="L107" s="489"/>
      <c r="N107" s="497"/>
      <c r="O107" s="498"/>
      <c r="P107" s="498"/>
    </row>
    <row r="108" spans="1:16" ht="15.75">
      <c r="A108" s="598"/>
      <c r="B108" s="599"/>
      <c r="C108" s="503" t="s">
        <v>205</v>
      </c>
      <c r="D108" s="491"/>
      <c r="E108" s="492"/>
      <c r="F108" s="504"/>
      <c r="G108" s="505"/>
      <c r="H108" s="519"/>
      <c r="I108" s="501"/>
      <c r="J108" s="512"/>
      <c r="K108" s="512"/>
      <c r="L108" s="489"/>
      <c r="N108" s="497"/>
      <c r="O108" s="498"/>
      <c r="P108" s="498"/>
    </row>
    <row r="109" spans="1:16" ht="15.75">
      <c r="A109" s="598"/>
      <c r="B109" s="599"/>
      <c r="C109" s="503" t="s">
        <v>206</v>
      </c>
      <c r="D109" s="491">
        <v>-1</v>
      </c>
      <c r="E109" s="492">
        <v>1</v>
      </c>
      <c r="F109" s="504">
        <v>2.1</v>
      </c>
      <c r="G109" s="505"/>
      <c r="H109" s="566">
        <f>F109*E109*D109</f>
        <v>-2.1</v>
      </c>
      <c r="I109" s="495"/>
      <c r="J109" s="496"/>
      <c r="K109" s="496"/>
      <c r="L109" s="489"/>
      <c r="N109" s="497"/>
      <c r="O109" s="498"/>
      <c r="P109" s="498"/>
    </row>
    <row r="110" spans="1:16" ht="15.75">
      <c r="A110" s="598"/>
      <c r="B110" s="599"/>
      <c r="C110" s="503" t="s">
        <v>174</v>
      </c>
      <c r="D110" s="491">
        <v>-1</v>
      </c>
      <c r="E110" s="492">
        <v>0.6</v>
      </c>
      <c r="F110" s="504">
        <v>1.2</v>
      </c>
      <c r="G110" s="505"/>
      <c r="H110" s="571">
        <f>F110*E110*D110</f>
        <v>-0.72</v>
      </c>
      <c r="I110" s="495"/>
      <c r="J110" s="496"/>
      <c r="K110" s="496"/>
      <c r="L110" s="489"/>
      <c r="N110" s="497"/>
      <c r="O110" s="498"/>
      <c r="P110" s="498"/>
    </row>
    <row r="111" spans="1:16" ht="15.75">
      <c r="A111" s="598"/>
      <c r="B111" s="599"/>
      <c r="C111" s="503"/>
      <c r="D111" s="532"/>
      <c r="E111" s="532"/>
      <c r="F111" s="964" t="s">
        <v>429</v>
      </c>
      <c r="G111" s="965"/>
      <c r="H111" s="570">
        <f>SUM(H66:H110)</f>
        <v>857.12399999999991</v>
      </c>
      <c r="I111" s="501"/>
      <c r="J111" s="512"/>
      <c r="K111" s="512"/>
      <c r="L111" s="489"/>
      <c r="N111" s="497"/>
      <c r="O111" s="498"/>
      <c r="P111" s="498"/>
    </row>
    <row r="112" spans="1:16" ht="19.5" customHeight="1">
      <c r="A112" s="598"/>
      <c r="B112" s="599"/>
      <c r="C112" s="503"/>
      <c r="D112" s="536"/>
      <c r="E112" s="536"/>
      <c r="F112" s="962" t="s">
        <v>430</v>
      </c>
      <c r="G112" s="962"/>
      <c r="H112" s="519">
        <f>H28+H63+H111</f>
        <v>2258.4289499999991</v>
      </c>
      <c r="I112" s="501"/>
      <c r="J112" s="512"/>
      <c r="K112" s="512"/>
      <c r="L112" s="489"/>
      <c r="N112" s="497"/>
      <c r="O112" s="498"/>
      <c r="P112" s="498"/>
    </row>
    <row r="113" spans="1:16" ht="15.75">
      <c r="A113" s="598"/>
      <c r="B113" s="599"/>
      <c r="C113" s="503"/>
      <c r="D113" s="536"/>
      <c r="E113" s="536"/>
      <c r="F113" s="962" t="s">
        <v>507</v>
      </c>
      <c r="G113" s="962"/>
      <c r="H113" s="742">
        <f>H112*80%</f>
        <v>1806.7431599999993</v>
      </c>
      <c r="I113" s="496"/>
      <c r="J113" s="496"/>
      <c r="K113" s="496"/>
      <c r="L113" s="489"/>
      <c r="N113" s="497"/>
      <c r="O113" s="498"/>
      <c r="P113" s="498"/>
    </row>
    <row r="114" spans="1:16" ht="15.75">
      <c r="A114" s="598"/>
      <c r="B114" s="599"/>
      <c r="D114" s="512"/>
      <c r="E114" s="512"/>
      <c r="F114" s="512"/>
      <c r="G114" s="589" t="s">
        <v>10</v>
      </c>
      <c r="H114" s="593">
        <f>ROUNDUP(H113,1)</f>
        <v>1806.8</v>
      </c>
      <c r="I114" s="588" t="s">
        <v>368</v>
      </c>
      <c r="J114" s="585">
        <v>52</v>
      </c>
      <c r="K114" s="585">
        <f>J114*H114</f>
        <v>93953.599999999991</v>
      </c>
      <c r="L114" s="489"/>
      <c r="N114" s="497"/>
      <c r="O114" s="498"/>
      <c r="P114" s="498"/>
    </row>
    <row r="115" spans="1:16" ht="15.75">
      <c r="A115" s="676"/>
      <c r="B115" s="676"/>
      <c r="C115" s="565"/>
      <c r="D115" s="565"/>
      <c r="E115" s="565"/>
      <c r="F115" s="565"/>
      <c r="G115" s="565"/>
      <c r="H115" s="565"/>
      <c r="I115" s="565"/>
      <c r="J115" s="565"/>
      <c r="K115" s="565"/>
      <c r="L115" s="496"/>
      <c r="N115" s="604"/>
      <c r="O115" s="605"/>
      <c r="P115" s="605"/>
    </row>
    <row r="116" spans="1:16" ht="60">
      <c r="A116" s="720">
        <f>1+A15</f>
        <v>3</v>
      </c>
      <c r="B116" s="676">
        <v>46.15</v>
      </c>
      <c r="C116" s="673" t="s">
        <v>543</v>
      </c>
      <c r="D116" s="565"/>
      <c r="E116" s="565"/>
      <c r="F116" s="565"/>
      <c r="G116" s="565"/>
      <c r="H116" s="565"/>
      <c r="I116" s="565"/>
      <c r="J116" s="565"/>
      <c r="K116" s="565"/>
      <c r="L116" s="496"/>
      <c r="N116" s="604"/>
      <c r="O116" s="605"/>
      <c r="P116" s="605"/>
    </row>
    <row r="117" spans="1:16" ht="15.75">
      <c r="A117" s="676"/>
      <c r="B117" s="676"/>
      <c r="C117" s="674" t="s">
        <v>168</v>
      </c>
      <c r="D117" s="560">
        <v>36</v>
      </c>
      <c r="E117" s="565"/>
      <c r="F117" s="565"/>
      <c r="G117" s="565"/>
      <c r="H117" s="674">
        <f>D117</f>
        <v>36</v>
      </c>
      <c r="I117" s="674"/>
      <c r="J117" s="674"/>
      <c r="K117" s="674"/>
      <c r="L117" s="496"/>
      <c r="N117" s="604"/>
      <c r="O117" s="605"/>
      <c r="P117" s="605"/>
    </row>
    <row r="118" spans="1:16" ht="15.75">
      <c r="A118" s="676"/>
      <c r="B118" s="676"/>
      <c r="C118" s="674" t="s">
        <v>169</v>
      </c>
      <c r="D118" s="560">
        <v>24</v>
      </c>
      <c r="E118" s="565"/>
      <c r="F118" s="565"/>
      <c r="G118" s="565"/>
      <c r="H118" s="740">
        <f>D118</f>
        <v>24</v>
      </c>
      <c r="I118" s="674"/>
      <c r="J118" s="674"/>
      <c r="K118" s="674"/>
      <c r="L118" s="496"/>
      <c r="N118" s="604"/>
      <c r="O118" s="605"/>
      <c r="P118" s="605"/>
    </row>
    <row r="119" spans="1:16" ht="15.75">
      <c r="A119" s="676"/>
      <c r="B119" s="676"/>
      <c r="C119" s="565"/>
      <c r="D119" s="565"/>
      <c r="E119" s="565"/>
      <c r="F119" s="565"/>
      <c r="G119" s="675" t="s">
        <v>44</v>
      </c>
      <c r="H119" s="741">
        <f>SUM(H117:H118)</f>
        <v>60</v>
      </c>
      <c r="I119" s="675" t="s">
        <v>544</v>
      </c>
      <c r="J119" s="675">
        <v>156</v>
      </c>
      <c r="K119" s="675">
        <f>J119*H119</f>
        <v>9360</v>
      </c>
      <c r="L119" s="496"/>
      <c r="N119" s="604"/>
      <c r="O119" s="605"/>
      <c r="P119" s="605"/>
    </row>
    <row r="120" spans="1:16" ht="15.75">
      <c r="A120" s="676"/>
      <c r="B120" s="676"/>
      <c r="C120" s="565"/>
      <c r="D120" s="565"/>
      <c r="E120" s="565"/>
      <c r="F120" s="565"/>
      <c r="G120" s="565"/>
      <c r="H120" s="565"/>
      <c r="I120" s="565"/>
      <c r="J120" s="565"/>
      <c r="K120" s="565"/>
      <c r="L120" s="496"/>
      <c r="N120" s="604"/>
      <c r="O120" s="605"/>
      <c r="P120" s="605"/>
    </row>
    <row r="121" spans="1:16" ht="60">
      <c r="A121" s="720">
        <f>1+A116</f>
        <v>4</v>
      </c>
      <c r="B121" s="558">
        <v>46.19</v>
      </c>
      <c r="C121" s="559" t="s">
        <v>135</v>
      </c>
      <c r="D121" s="560"/>
      <c r="E121" s="561"/>
      <c r="F121" s="562"/>
      <c r="G121" s="563"/>
      <c r="H121" s="564"/>
      <c r="I121" s="564"/>
      <c r="J121" s="565"/>
      <c r="K121" s="565"/>
      <c r="L121" s="489"/>
      <c r="N121" s="497"/>
      <c r="O121" s="498"/>
      <c r="P121" s="498"/>
    </row>
    <row r="122" spans="1:16" ht="15.75">
      <c r="A122" s="610"/>
      <c r="B122" s="599"/>
      <c r="C122" s="502" t="s">
        <v>276</v>
      </c>
      <c r="D122" s="491"/>
      <c r="E122" s="492"/>
      <c r="F122" s="493"/>
      <c r="G122" s="494"/>
      <c r="H122" s="495"/>
      <c r="I122" s="495"/>
      <c r="J122" s="496"/>
      <c r="K122" s="496"/>
      <c r="L122" s="489"/>
      <c r="N122" s="497"/>
      <c r="O122" s="498"/>
      <c r="P122" s="498"/>
    </row>
    <row r="123" spans="1:16" ht="15.75">
      <c r="A123" s="610"/>
      <c r="B123" s="599"/>
      <c r="C123" s="502" t="s">
        <v>147</v>
      </c>
      <c r="D123" s="491"/>
      <c r="E123" s="492"/>
      <c r="F123" s="493"/>
      <c r="G123" s="494"/>
      <c r="H123" s="495"/>
      <c r="I123" s="495"/>
      <c r="J123" s="496"/>
      <c r="K123" s="496"/>
      <c r="L123" s="489"/>
      <c r="N123" s="497"/>
      <c r="O123" s="498"/>
      <c r="P123" s="498"/>
    </row>
    <row r="124" spans="1:16" ht="15.75">
      <c r="A124" s="610"/>
      <c r="B124" s="599"/>
      <c r="C124" s="503" t="s">
        <v>149</v>
      </c>
      <c r="D124" s="491">
        <v>12</v>
      </c>
      <c r="E124" s="492">
        <v>3.05</v>
      </c>
      <c r="F124" s="504">
        <v>3.75</v>
      </c>
      <c r="G124" s="505"/>
      <c r="H124" s="566">
        <f t="shared" ref="H124:H131" si="3">F124*E124*D124</f>
        <v>137.25</v>
      </c>
      <c r="I124" s="495"/>
      <c r="J124" s="496"/>
      <c r="K124" s="496"/>
      <c r="L124" s="489"/>
      <c r="N124" s="497"/>
      <c r="O124" s="498"/>
      <c r="P124" s="498"/>
    </row>
    <row r="125" spans="1:16" ht="15.75">
      <c r="A125" s="610"/>
      <c r="B125" s="599"/>
      <c r="C125" s="503" t="s">
        <v>283</v>
      </c>
      <c r="D125" s="491">
        <v>12</v>
      </c>
      <c r="E125" s="492">
        <v>3.05</v>
      </c>
      <c r="F125" s="504">
        <v>3.75</v>
      </c>
      <c r="G125" s="505">
        <v>0.1</v>
      </c>
      <c r="H125" s="566">
        <f>F125*E125*D125*G125</f>
        <v>13.725000000000001</v>
      </c>
      <c r="I125" s="495"/>
      <c r="J125" s="496"/>
      <c r="K125" s="496"/>
      <c r="L125" s="489"/>
      <c r="N125" s="497"/>
      <c r="O125" s="498"/>
      <c r="P125" s="498"/>
    </row>
    <row r="126" spans="1:16" ht="15.75">
      <c r="A126" s="610"/>
      <c r="B126" s="599"/>
      <c r="C126" s="503" t="s">
        <v>150</v>
      </c>
      <c r="D126" s="491">
        <v>12</v>
      </c>
      <c r="E126" s="492">
        <v>3.05</v>
      </c>
      <c r="F126" s="504">
        <v>3.05</v>
      </c>
      <c r="G126" s="505"/>
      <c r="H126" s="566">
        <f t="shared" si="3"/>
        <v>111.62999999999998</v>
      </c>
      <c r="I126" s="495"/>
      <c r="J126" s="496"/>
      <c r="K126" s="496"/>
      <c r="L126" s="489"/>
      <c r="N126" s="497"/>
      <c r="O126" s="498"/>
      <c r="P126" s="498"/>
    </row>
    <row r="127" spans="1:16" ht="15.75">
      <c r="A127" s="610"/>
      <c r="B127" s="599"/>
      <c r="C127" s="503" t="s">
        <v>283</v>
      </c>
      <c r="D127" s="491">
        <v>8</v>
      </c>
      <c r="E127" s="492">
        <v>3.05</v>
      </c>
      <c r="F127" s="504">
        <v>3.05</v>
      </c>
      <c r="G127" s="505">
        <v>0.1</v>
      </c>
      <c r="H127" s="566">
        <f>F127*E127*D127*G127</f>
        <v>7.4419999999999993</v>
      </c>
      <c r="I127" s="495"/>
      <c r="J127" s="496"/>
      <c r="K127" s="496"/>
      <c r="L127" s="489"/>
      <c r="N127" s="497"/>
      <c r="O127" s="498"/>
      <c r="P127" s="498"/>
    </row>
    <row r="128" spans="1:16" ht="15.75">
      <c r="A128" s="610"/>
      <c r="B128" s="599"/>
      <c r="C128" s="503" t="s">
        <v>151</v>
      </c>
      <c r="D128" s="491">
        <v>12</v>
      </c>
      <c r="E128" s="492">
        <v>0.98</v>
      </c>
      <c r="F128" s="504">
        <v>2.52</v>
      </c>
      <c r="G128" s="505"/>
      <c r="H128" s="566">
        <f t="shared" si="3"/>
        <v>29.635199999999998</v>
      </c>
      <c r="I128" s="495"/>
      <c r="J128" s="496"/>
      <c r="K128" s="496"/>
      <c r="L128" s="489"/>
      <c r="N128" s="497"/>
      <c r="O128" s="498"/>
      <c r="P128" s="498"/>
    </row>
    <row r="129" spans="1:16" ht="15.75">
      <c r="A129" s="610"/>
      <c r="B129" s="599"/>
      <c r="C129" s="503" t="s">
        <v>251</v>
      </c>
      <c r="D129" s="506">
        <v>1</v>
      </c>
      <c r="E129" s="495">
        <v>5.3070000000000004</v>
      </c>
      <c r="F129" s="504">
        <v>2.15</v>
      </c>
      <c r="G129" s="505"/>
      <c r="H129" s="566">
        <f t="shared" si="3"/>
        <v>11.41005</v>
      </c>
      <c r="I129" s="495"/>
      <c r="J129" s="496"/>
      <c r="K129" s="496"/>
      <c r="L129" s="489"/>
      <c r="N129" s="497"/>
      <c r="O129" s="498"/>
      <c r="P129" s="498"/>
    </row>
    <row r="130" spans="1:16" ht="30">
      <c r="A130" s="610"/>
      <c r="B130" s="599"/>
      <c r="C130" s="503" t="s">
        <v>250</v>
      </c>
      <c r="D130" s="506">
        <v>2</v>
      </c>
      <c r="E130" s="495">
        <v>3.74</v>
      </c>
      <c r="F130" s="504">
        <v>2.15</v>
      </c>
      <c r="G130" s="505"/>
      <c r="H130" s="566">
        <f t="shared" si="3"/>
        <v>16.082000000000001</v>
      </c>
      <c r="I130" s="495"/>
      <c r="J130" s="496"/>
      <c r="K130" s="496"/>
      <c r="L130" s="489"/>
      <c r="N130" s="497"/>
      <c r="O130" s="498"/>
      <c r="P130" s="498"/>
    </row>
    <row r="131" spans="1:16" ht="15.75">
      <c r="A131" s="610"/>
      <c r="B131" s="599"/>
      <c r="C131" s="503" t="s">
        <v>154</v>
      </c>
      <c r="D131" s="491">
        <v>1</v>
      </c>
      <c r="E131" s="492">
        <v>2.15</v>
      </c>
      <c r="F131" s="504">
        <v>5.2</v>
      </c>
      <c r="G131" s="505"/>
      <c r="H131" s="566">
        <f t="shared" si="3"/>
        <v>11.18</v>
      </c>
      <c r="I131" s="495"/>
      <c r="J131" s="496"/>
      <c r="K131" s="496"/>
      <c r="L131" s="489"/>
      <c r="N131" s="497"/>
      <c r="O131" s="498"/>
      <c r="P131" s="498"/>
    </row>
    <row r="132" spans="1:16" ht="15.75">
      <c r="A132" s="610"/>
      <c r="B132" s="599"/>
      <c r="C132" s="503" t="s">
        <v>155</v>
      </c>
      <c r="D132" s="506">
        <v>3</v>
      </c>
      <c r="E132" s="495">
        <v>2.15</v>
      </c>
      <c r="F132" s="504">
        <v>1.2</v>
      </c>
      <c r="G132" s="505"/>
      <c r="H132" s="566">
        <f>F132*E132*D132</f>
        <v>7.7399999999999984</v>
      </c>
      <c r="I132" s="495"/>
      <c r="J132" s="496"/>
      <c r="K132" s="496"/>
      <c r="L132" s="489"/>
      <c r="N132" s="497"/>
      <c r="O132" s="498"/>
      <c r="P132" s="498"/>
    </row>
    <row r="133" spans="1:16" ht="15.75">
      <c r="A133" s="610"/>
      <c r="B133" s="599"/>
      <c r="C133" s="503" t="s">
        <v>156</v>
      </c>
      <c r="D133" s="491">
        <v>6</v>
      </c>
      <c r="E133" s="492">
        <v>0.95</v>
      </c>
      <c r="F133" s="504">
        <v>3</v>
      </c>
      <c r="G133" s="505"/>
      <c r="H133" s="571">
        <f>F133*E133*D133</f>
        <v>17.099999999999998</v>
      </c>
      <c r="I133" s="495"/>
      <c r="J133" s="496"/>
      <c r="K133" s="496"/>
      <c r="L133" s="489"/>
      <c r="N133" s="497"/>
      <c r="O133" s="498"/>
      <c r="P133" s="498"/>
    </row>
    <row r="134" spans="1:16" ht="15.75">
      <c r="A134" s="610"/>
      <c r="B134" s="599"/>
      <c r="C134" s="509"/>
      <c r="D134" s="510"/>
      <c r="E134" s="510"/>
      <c r="F134" s="964" t="s">
        <v>504</v>
      </c>
      <c r="G134" s="966"/>
      <c r="H134" s="570">
        <f>SUM(H124:H133)</f>
        <v>363.19425000000001</v>
      </c>
      <c r="I134" s="501"/>
      <c r="J134" s="496"/>
      <c r="K134" s="496"/>
      <c r="L134" s="489"/>
      <c r="N134" s="497"/>
      <c r="O134" s="498"/>
      <c r="P134" s="498"/>
    </row>
    <row r="135" spans="1:16" ht="15.75">
      <c r="A135" s="610"/>
      <c r="B135" s="599"/>
      <c r="C135" s="503" t="s">
        <v>152</v>
      </c>
      <c r="D135" s="491">
        <v>12</v>
      </c>
      <c r="E135" s="492">
        <v>1.22</v>
      </c>
      <c r="F135" s="504">
        <v>1.22</v>
      </c>
      <c r="G135" s="505"/>
      <c r="H135" s="566">
        <f>F135*E135*D135</f>
        <v>17.860799999999998</v>
      </c>
      <c r="I135" s="501"/>
      <c r="J135" s="496"/>
      <c r="K135" s="496"/>
      <c r="L135" s="489"/>
      <c r="N135" s="604"/>
      <c r="O135" s="605"/>
      <c r="P135" s="605"/>
    </row>
    <row r="136" spans="1:16" ht="15.75">
      <c r="A136" s="610"/>
      <c r="B136" s="599"/>
      <c r="C136" s="603" t="s">
        <v>500</v>
      </c>
      <c r="D136" s="491">
        <f>12*2</f>
        <v>24</v>
      </c>
      <c r="E136" s="492">
        <v>1.22</v>
      </c>
      <c r="G136" s="504">
        <v>2.1</v>
      </c>
      <c r="H136" s="566">
        <f>G136*E136*D136</f>
        <v>61.488</v>
      </c>
      <c r="I136" s="501"/>
      <c r="J136" s="496"/>
      <c r="K136" s="496"/>
      <c r="L136" s="489"/>
      <c r="N136" s="604"/>
      <c r="O136" s="605"/>
      <c r="P136" s="605"/>
    </row>
    <row r="137" spans="1:16" ht="15.75">
      <c r="A137" s="610"/>
      <c r="B137" s="599"/>
      <c r="C137" s="603"/>
      <c r="D137" s="491">
        <f>12*2</f>
        <v>24</v>
      </c>
      <c r="E137" s="492">
        <v>1.22</v>
      </c>
      <c r="G137" s="504">
        <v>2.1</v>
      </c>
      <c r="H137" s="566">
        <f>G137*E137*D137</f>
        <v>61.488</v>
      </c>
      <c r="I137" s="501"/>
      <c r="J137" s="496"/>
      <c r="K137" s="496"/>
      <c r="L137" s="489"/>
      <c r="N137" s="604"/>
      <c r="O137" s="605"/>
      <c r="P137" s="605"/>
    </row>
    <row r="138" spans="1:16" ht="15.75">
      <c r="A138" s="610"/>
      <c r="B138" s="599"/>
      <c r="C138" s="503" t="s">
        <v>153</v>
      </c>
      <c r="D138" s="491">
        <v>12</v>
      </c>
      <c r="E138" s="492">
        <v>0.95</v>
      </c>
      <c r="F138" s="504">
        <v>1.22</v>
      </c>
      <c r="G138" s="505"/>
      <c r="H138" s="566">
        <f>F138*E138*D138</f>
        <v>13.908000000000001</v>
      </c>
      <c r="I138" s="501"/>
      <c r="J138" s="496"/>
      <c r="K138" s="496"/>
      <c r="L138" s="489"/>
      <c r="N138" s="604"/>
      <c r="O138" s="605"/>
      <c r="P138" s="605"/>
    </row>
    <row r="139" spans="1:16" ht="15.75">
      <c r="A139" s="610"/>
      <c r="B139" s="599"/>
      <c r="C139" s="603" t="s">
        <v>500</v>
      </c>
      <c r="D139" s="491">
        <f>2*12</f>
        <v>24</v>
      </c>
      <c r="E139" s="492">
        <v>0.9</v>
      </c>
      <c r="G139" s="504">
        <v>2.1</v>
      </c>
      <c r="H139" s="566">
        <f>G139*E139*D139</f>
        <v>45.36</v>
      </c>
      <c r="I139" s="501"/>
      <c r="J139" s="496"/>
      <c r="K139" s="496"/>
      <c r="L139" s="489"/>
      <c r="N139" s="604"/>
      <c r="O139" s="605"/>
      <c r="P139" s="605"/>
    </row>
    <row r="140" spans="1:16" ht="15.75">
      <c r="A140" s="610"/>
      <c r="B140" s="599"/>
      <c r="C140" s="603"/>
      <c r="D140" s="491">
        <f>2*12</f>
        <v>24</v>
      </c>
      <c r="E140" s="492">
        <v>1.22</v>
      </c>
      <c r="G140" s="504">
        <v>2.1</v>
      </c>
      <c r="H140" s="566">
        <f>G140*E140*D140</f>
        <v>61.488</v>
      </c>
      <c r="I140" s="501"/>
      <c r="J140" s="496"/>
      <c r="K140" s="496"/>
      <c r="L140" s="489"/>
      <c r="N140" s="604"/>
      <c r="O140" s="605"/>
      <c r="P140" s="605"/>
    </row>
    <row r="141" spans="1:16" ht="15.75">
      <c r="A141" s="610"/>
      <c r="B141" s="599"/>
      <c r="C141" s="513" t="s">
        <v>501</v>
      </c>
      <c r="D141" s="491">
        <v>-24</v>
      </c>
      <c r="E141" s="492">
        <v>0.6</v>
      </c>
      <c r="F141" s="499">
        <v>0.6</v>
      </c>
      <c r="G141" s="499"/>
      <c r="H141" s="567">
        <f>F141*E141*D141</f>
        <v>-8.64</v>
      </c>
      <c r="I141" s="501"/>
      <c r="J141" s="496"/>
      <c r="K141" s="496"/>
      <c r="L141" s="489"/>
      <c r="N141" s="604"/>
      <c r="O141" s="605"/>
      <c r="P141" s="605"/>
    </row>
    <row r="142" spans="1:16" ht="15.75">
      <c r="A142" s="610"/>
      <c r="B142" s="599"/>
      <c r="C142" s="508" t="s">
        <v>503</v>
      </c>
      <c r="D142" s="491">
        <v>12</v>
      </c>
      <c r="E142" s="492">
        <v>3.05</v>
      </c>
      <c r="F142" s="492">
        <v>0.7</v>
      </c>
      <c r="G142" s="492"/>
      <c r="H142" s="571">
        <f>D142*E142*F142</f>
        <v>25.619999999999994</v>
      </c>
      <c r="I142" s="501"/>
      <c r="J142" s="496"/>
      <c r="K142" s="496"/>
      <c r="L142" s="489"/>
      <c r="N142" s="604"/>
      <c r="O142" s="605"/>
      <c r="P142" s="605"/>
    </row>
    <row r="143" spans="1:16" ht="15.75">
      <c r="A143" s="610"/>
      <c r="B143" s="599"/>
      <c r="C143" s="509"/>
      <c r="D143" s="510"/>
      <c r="E143" s="510"/>
      <c r="F143" s="964" t="s">
        <v>505</v>
      </c>
      <c r="G143" s="966"/>
      <c r="H143" s="570">
        <f>SUM(H135:H142)</f>
        <v>278.57280000000003</v>
      </c>
      <c r="I143" s="501"/>
      <c r="J143" s="496"/>
      <c r="K143" s="496"/>
      <c r="L143" s="489"/>
      <c r="N143" s="604"/>
      <c r="O143" s="605"/>
      <c r="P143" s="605"/>
    </row>
    <row r="144" spans="1:16" ht="15.75">
      <c r="A144" s="610"/>
      <c r="B144" s="599"/>
      <c r="C144" s="509"/>
      <c r="D144" s="510"/>
      <c r="E144" s="510"/>
      <c r="F144" s="964" t="s">
        <v>506</v>
      </c>
      <c r="G144" s="966"/>
      <c r="H144" s="519">
        <f>H134+H143</f>
        <v>641.76705000000004</v>
      </c>
      <c r="I144" s="501"/>
      <c r="J144" s="496"/>
      <c r="K144" s="496"/>
      <c r="L144" s="489"/>
      <c r="N144" s="604"/>
      <c r="O144" s="605"/>
      <c r="P144" s="605"/>
    </row>
    <row r="145" spans="1:16" ht="15.75">
      <c r="A145" s="610"/>
      <c r="B145" s="599"/>
      <c r="C145" s="509"/>
      <c r="D145" s="510"/>
      <c r="E145" s="511"/>
      <c r="F145" s="511"/>
      <c r="G145" s="582" t="s">
        <v>10</v>
      </c>
      <c r="H145" s="583">
        <f>ROUNDUP(H144,0)</f>
        <v>642</v>
      </c>
      <c r="I145" s="584" t="s">
        <v>368</v>
      </c>
      <c r="J145" s="585">
        <v>45</v>
      </c>
      <c r="K145" s="585">
        <f>J145*H145</f>
        <v>28890</v>
      </c>
      <c r="L145" s="489"/>
      <c r="N145" s="497"/>
      <c r="O145" s="498"/>
      <c r="P145" s="498"/>
    </row>
    <row r="146" spans="1:16" ht="15.75">
      <c r="A146" s="610"/>
      <c r="B146" s="599"/>
      <c r="C146" s="509"/>
      <c r="D146" s="510"/>
      <c r="E146" s="596"/>
      <c r="F146" s="596"/>
      <c r="G146" s="509"/>
      <c r="H146" s="509"/>
      <c r="I146" s="509"/>
      <c r="J146" s="509"/>
      <c r="K146" s="509"/>
      <c r="L146" s="489"/>
      <c r="N146" s="604"/>
      <c r="O146" s="605"/>
      <c r="P146" s="605"/>
    </row>
    <row r="147" spans="1:16" ht="135">
      <c r="A147" s="724">
        <f>1+A121</f>
        <v>5</v>
      </c>
      <c r="B147" s="772">
        <v>46.4</v>
      </c>
      <c r="C147" s="621" t="s">
        <v>511</v>
      </c>
      <c r="D147" s="621"/>
      <c r="E147" s="621"/>
      <c r="F147" s="621"/>
      <c r="G147" s="621"/>
      <c r="H147" s="621"/>
      <c r="I147" s="621"/>
      <c r="J147" s="621"/>
      <c r="K147" s="621"/>
      <c r="N147" s="622"/>
    </row>
    <row r="148" spans="1:16">
      <c r="A148" s="626"/>
      <c r="B148" s="626"/>
      <c r="C148" s="623" t="s">
        <v>517</v>
      </c>
      <c r="D148" s="505">
        <v>6</v>
      </c>
      <c r="E148" s="624"/>
      <c r="F148" s="624"/>
      <c r="G148" s="624"/>
      <c r="H148" s="632">
        <f>D148</f>
        <v>6</v>
      </c>
      <c r="I148" s="633" t="s">
        <v>436</v>
      </c>
      <c r="J148" s="632">
        <v>96</v>
      </c>
      <c r="K148" s="632">
        <f>J148*H148</f>
        <v>576</v>
      </c>
      <c r="N148" s="622"/>
    </row>
    <row r="149" spans="1:16">
      <c r="A149" s="626"/>
      <c r="B149" s="626"/>
      <c r="C149" s="624"/>
      <c r="D149" s="505"/>
      <c r="E149" s="624"/>
      <c r="F149" s="624"/>
      <c r="G149" s="624"/>
      <c r="H149" s="625"/>
      <c r="I149" s="624"/>
      <c r="J149" s="625"/>
      <c r="K149" s="625"/>
      <c r="N149" s="622"/>
    </row>
    <row r="150" spans="1:16" ht="180">
      <c r="A150" s="725">
        <f>1+A147</f>
        <v>6</v>
      </c>
      <c r="B150" s="626">
        <v>46.41</v>
      </c>
      <c r="C150" s="624" t="s">
        <v>512</v>
      </c>
      <c r="D150" s="505"/>
      <c r="E150" s="624"/>
      <c r="F150" s="624"/>
      <c r="G150" s="624"/>
      <c r="H150" s="625"/>
      <c r="I150" s="624"/>
      <c r="J150" s="625"/>
      <c r="K150" s="625"/>
      <c r="N150" s="622"/>
    </row>
    <row r="151" spans="1:16">
      <c r="A151" s="626"/>
      <c r="B151" s="626"/>
      <c r="C151" s="623" t="s">
        <v>517</v>
      </c>
      <c r="D151" s="505">
        <v>8</v>
      </c>
      <c r="E151" s="624"/>
      <c r="F151" s="624"/>
      <c r="G151" s="624"/>
      <c r="H151" s="625">
        <f>D151</f>
        <v>8</v>
      </c>
      <c r="I151" s="624"/>
      <c r="J151" s="625"/>
      <c r="K151" s="625"/>
      <c r="N151" s="622"/>
    </row>
    <row r="152" spans="1:16">
      <c r="A152" s="626"/>
      <c r="B152" s="626"/>
      <c r="C152" s="624"/>
      <c r="D152" s="505"/>
      <c r="E152" s="624"/>
      <c r="F152" s="624"/>
      <c r="G152" s="624"/>
      <c r="H152" s="632">
        <f>SUM(H151)</f>
        <v>8</v>
      </c>
      <c r="I152" s="633" t="s">
        <v>436</v>
      </c>
      <c r="J152" s="632">
        <v>207</v>
      </c>
      <c r="K152" s="632">
        <f>J152*H152</f>
        <v>1656</v>
      </c>
      <c r="N152" s="622"/>
    </row>
    <row r="153" spans="1:16">
      <c r="A153" s="626"/>
      <c r="B153" s="626"/>
      <c r="C153" s="624"/>
      <c r="D153" s="505"/>
      <c r="E153" s="624"/>
      <c r="F153" s="624"/>
      <c r="G153" s="624"/>
      <c r="H153" s="625"/>
      <c r="I153" s="624"/>
      <c r="J153" s="624"/>
      <c r="K153" s="624"/>
      <c r="N153" s="622"/>
    </row>
    <row r="154" spans="1:16">
      <c r="A154" s="626"/>
      <c r="B154" s="626"/>
      <c r="C154" s="624"/>
      <c r="D154" s="505"/>
      <c r="E154" s="624"/>
      <c r="F154" s="624"/>
      <c r="G154" s="624"/>
      <c r="H154" s="625"/>
      <c r="I154" s="624"/>
      <c r="J154" s="625"/>
      <c r="K154" s="625"/>
      <c r="N154" s="622"/>
    </row>
    <row r="155" spans="1:16" ht="45">
      <c r="A155" s="725">
        <f>1+A150</f>
        <v>7</v>
      </c>
      <c r="B155" s="626">
        <v>46.27</v>
      </c>
      <c r="C155" s="624" t="s">
        <v>515</v>
      </c>
      <c r="D155" s="505"/>
      <c r="E155" s="624"/>
      <c r="F155" s="624"/>
      <c r="G155" s="624"/>
      <c r="H155" s="625"/>
      <c r="I155" s="624"/>
      <c r="J155" s="625"/>
      <c r="K155" s="625"/>
      <c r="N155" s="628"/>
    </row>
    <row r="156" spans="1:16">
      <c r="A156" s="626"/>
      <c r="B156" s="626"/>
      <c r="C156" s="623" t="s">
        <v>517</v>
      </c>
      <c r="D156" s="505">
        <v>4</v>
      </c>
      <c r="E156" s="629">
        <v>10</v>
      </c>
      <c r="F156" s="624"/>
      <c r="G156" s="624"/>
      <c r="H156" s="625">
        <f>E156*D156</f>
        <v>40</v>
      </c>
      <c r="I156" s="624"/>
      <c r="J156" s="625"/>
      <c r="K156" s="625"/>
      <c r="N156" s="622"/>
    </row>
    <row r="157" spans="1:16">
      <c r="A157" s="626"/>
      <c r="B157" s="626"/>
      <c r="C157" s="624"/>
      <c r="D157" s="505"/>
      <c r="E157" s="624"/>
      <c r="F157" s="624"/>
      <c r="G157" s="624"/>
      <c r="H157" s="632">
        <f>SUM(H156:H156)</f>
        <v>40</v>
      </c>
      <c r="I157" s="633" t="s">
        <v>516</v>
      </c>
      <c r="J157" s="632">
        <v>22</v>
      </c>
      <c r="K157" s="632">
        <f>J157*H157</f>
        <v>880</v>
      </c>
      <c r="N157" s="622"/>
    </row>
    <row r="158" spans="1:16" ht="15.75">
      <c r="A158" s="610"/>
      <c r="B158" s="599"/>
      <c r="C158" s="509"/>
      <c r="D158" s="510"/>
      <c r="E158" s="596"/>
      <c r="F158" s="596"/>
      <c r="G158" s="509"/>
      <c r="H158" s="509"/>
      <c r="I158" s="509"/>
      <c r="J158" s="509"/>
      <c r="K158" s="509"/>
      <c r="L158" s="489"/>
      <c r="N158" s="604"/>
      <c r="O158" s="605"/>
      <c r="P158" s="605"/>
    </row>
    <row r="159" spans="1:16" ht="111.75" customHeight="1">
      <c r="A159" s="597">
        <f>1+A155</f>
        <v>8</v>
      </c>
      <c r="B159" s="599" t="s">
        <v>141</v>
      </c>
      <c r="C159" s="490" t="s">
        <v>142</v>
      </c>
      <c r="D159" s="491"/>
      <c r="E159" s="492"/>
      <c r="F159" s="492"/>
      <c r="G159" s="492"/>
      <c r="H159" s="495"/>
      <c r="I159" s="501"/>
      <c r="J159" s="512"/>
      <c r="K159" s="512"/>
      <c r="L159" s="537"/>
      <c r="N159" s="497"/>
      <c r="O159" s="498"/>
      <c r="P159" s="498"/>
    </row>
    <row r="160" spans="1:16" ht="15.75">
      <c r="A160" s="598"/>
      <c r="B160" s="599"/>
      <c r="C160" s="502" t="s">
        <v>179</v>
      </c>
      <c r="D160" s="491"/>
      <c r="E160" s="492"/>
      <c r="F160" s="492"/>
      <c r="G160" s="492"/>
      <c r="H160" s="495"/>
      <c r="I160" s="501"/>
      <c r="J160" s="512"/>
      <c r="K160" s="512"/>
      <c r="L160" s="489"/>
      <c r="N160" s="497"/>
      <c r="O160" s="498"/>
      <c r="P160" s="498"/>
    </row>
    <row r="161" spans="1:16" ht="15.75">
      <c r="A161" s="598"/>
      <c r="B161" s="599"/>
      <c r="C161" s="503" t="s">
        <v>149</v>
      </c>
      <c r="D161" s="491"/>
      <c r="E161" s="492"/>
      <c r="F161" s="504"/>
      <c r="G161" s="505"/>
      <c r="H161" s="501"/>
      <c r="I161" s="501"/>
      <c r="J161" s="512"/>
      <c r="K161" s="512"/>
      <c r="L161" s="489"/>
      <c r="N161" s="497"/>
      <c r="O161" s="498"/>
      <c r="P161" s="498"/>
    </row>
    <row r="162" spans="1:16" ht="30">
      <c r="A162" s="598"/>
      <c r="B162" s="599"/>
      <c r="C162" s="503" t="s">
        <v>168</v>
      </c>
      <c r="D162" s="541" t="s">
        <v>217</v>
      </c>
      <c r="E162" s="492">
        <v>1</v>
      </c>
      <c r="F162" s="504">
        <v>2.15</v>
      </c>
      <c r="G162" s="505"/>
      <c r="H162" s="566">
        <f>F162*E162*8*2*1.125</f>
        <v>38.699999999999996</v>
      </c>
      <c r="I162" s="495"/>
      <c r="J162" s="496"/>
      <c r="K162" s="496"/>
      <c r="L162" s="489"/>
      <c r="N162" s="497"/>
      <c r="O162" s="498"/>
      <c r="P162" s="498"/>
    </row>
    <row r="163" spans="1:16" ht="15.75">
      <c r="A163" s="598"/>
      <c r="B163" s="599"/>
      <c r="C163" s="503" t="s">
        <v>221</v>
      </c>
      <c r="D163" s="491">
        <v>8</v>
      </c>
      <c r="E163" s="492">
        <v>1.8</v>
      </c>
      <c r="F163" s="504">
        <v>1.35</v>
      </c>
      <c r="G163" s="505"/>
      <c r="H163" s="566">
        <f>F163*E163*D163</f>
        <v>19.440000000000001</v>
      </c>
      <c r="I163" s="495"/>
      <c r="J163" s="496"/>
      <c r="K163" s="496"/>
      <c r="L163" s="489"/>
      <c r="N163" s="497"/>
      <c r="O163" s="498"/>
      <c r="P163" s="498"/>
    </row>
    <row r="164" spans="1:16" ht="15.75">
      <c r="A164" s="598"/>
      <c r="B164" s="599"/>
      <c r="C164" s="503" t="s">
        <v>193</v>
      </c>
      <c r="D164" s="491" t="s">
        <v>163</v>
      </c>
      <c r="E164" s="492">
        <v>1.8</v>
      </c>
      <c r="F164" s="504">
        <v>0.15</v>
      </c>
      <c r="G164" s="505"/>
      <c r="H164" s="566">
        <f>F164*E164*8*2</f>
        <v>4.32</v>
      </c>
      <c r="I164" s="495"/>
      <c r="J164" s="496"/>
      <c r="K164" s="496"/>
      <c r="L164" s="489"/>
      <c r="N164" s="497"/>
      <c r="O164" s="498"/>
      <c r="P164" s="498"/>
    </row>
    <row r="165" spans="1:16" ht="15.75">
      <c r="A165" s="598"/>
      <c r="B165" s="599"/>
      <c r="C165" s="503"/>
      <c r="D165" s="491" t="s">
        <v>163</v>
      </c>
      <c r="E165" s="492">
        <v>1.35</v>
      </c>
      <c r="F165" s="504">
        <v>0.15</v>
      </c>
      <c r="G165" s="505"/>
      <c r="H165" s="566">
        <f>F165*E165*8*2</f>
        <v>3.24</v>
      </c>
      <c r="I165" s="495"/>
      <c r="J165" s="496"/>
      <c r="K165" s="496"/>
      <c r="L165" s="489"/>
      <c r="N165" s="497"/>
      <c r="O165" s="498"/>
      <c r="P165" s="498"/>
    </row>
    <row r="166" spans="1:16" ht="15.75">
      <c r="A166" s="598"/>
      <c r="B166" s="599"/>
      <c r="C166" s="503" t="s">
        <v>172</v>
      </c>
      <c r="D166" s="491"/>
      <c r="E166" s="492"/>
      <c r="F166" s="504"/>
      <c r="G166" s="505"/>
      <c r="H166" s="519"/>
      <c r="I166" s="501"/>
      <c r="J166" s="512"/>
      <c r="K166" s="512"/>
      <c r="L166" s="489"/>
      <c r="N166" s="497"/>
      <c r="O166" s="498"/>
      <c r="P166" s="498"/>
    </row>
    <row r="167" spans="1:16" ht="30">
      <c r="A167" s="598"/>
      <c r="B167" s="599"/>
      <c r="C167" s="503" t="s">
        <v>169</v>
      </c>
      <c r="D167" s="541" t="s">
        <v>217</v>
      </c>
      <c r="E167" s="492">
        <v>0.9</v>
      </c>
      <c r="F167" s="504">
        <v>2.15</v>
      </c>
      <c r="G167" s="505"/>
      <c r="H167" s="566">
        <f>F167*E167*8*2*1.125</f>
        <v>34.83</v>
      </c>
      <c r="I167" s="495"/>
      <c r="J167" s="496"/>
      <c r="K167" s="496"/>
      <c r="L167" s="489"/>
      <c r="N167" s="497"/>
      <c r="O167" s="498"/>
      <c r="P167" s="498"/>
    </row>
    <row r="168" spans="1:16" ht="15.75">
      <c r="A168" s="598"/>
      <c r="B168" s="599"/>
      <c r="C168" s="503" t="s">
        <v>173</v>
      </c>
      <c r="D168" s="491">
        <v>8</v>
      </c>
      <c r="E168" s="492">
        <v>1</v>
      </c>
      <c r="F168" s="504">
        <v>1.2</v>
      </c>
      <c r="G168" s="505"/>
      <c r="H168" s="566">
        <f>F168*E168*D168</f>
        <v>9.6</v>
      </c>
      <c r="I168" s="495"/>
      <c r="J168" s="496"/>
      <c r="K168" s="496"/>
      <c r="L168" s="489"/>
      <c r="N168" s="497"/>
      <c r="O168" s="498"/>
      <c r="P168" s="498"/>
    </row>
    <row r="169" spans="1:16" ht="15.75">
      <c r="A169" s="598"/>
      <c r="B169" s="599"/>
      <c r="C169" s="503"/>
      <c r="D169" s="491" t="s">
        <v>163</v>
      </c>
      <c r="E169" s="492">
        <v>1.2</v>
      </c>
      <c r="F169" s="504">
        <v>0.1</v>
      </c>
      <c r="G169" s="505"/>
      <c r="H169" s="566">
        <f>F169*E169*8*2</f>
        <v>1.92</v>
      </c>
      <c r="I169" s="495"/>
      <c r="J169" s="496"/>
      <c r="K169" s="496"/>
      <c r="L169" s="489"/>
      <c r="N169" s="497"/>
      <c r="O169" s="498"/>
      <c r="P169" s="498"/>
    </row>
    <row r="170" spans="1:16" ht="15.75">
      <c r="A170" s="598"/>
      <c r="B170" s="599"/>
      <c r="C170" s="503"/>
      <c r="D170" s="491" t="s">
        <v>163</v>
      </c>
      <c r="E170" s="492">
        <v>1.35</v>
      </c>
      <c r="F170" s="504">
        <v>0.1</v>
      </c>
      <c r="G170" s="505"/>
      <c r="H170" s="566">
        <f>F170*E170*8*2</f>
        <v>2.16</v>
      </c>
      <c r="I170" s="495"/>
      <c r="J170" s="496"/>
      <c r="K170" s="496"/>
      <c r="L170" s="489"/>
      <c r="N170" s="497"/>
      <c r="O170" s="498"/>
      <c r="P170" s="498"/>
    </row>
    <row r="171" spans="1:16" ht="15.75">
      <c r="A171" s="598"/>
      <c r="B171" s="599"/>
      <c r="C171" s="503" t="s">
        <v>174</v>
      </c>
      <c r="D171" s="491">
        <v>8</v>
      </c>
      <c r="E171" s="492">
        <v>0.6</v>
      </c>
      <c r="F171" s="504">
        <v>1.2</v>
      </c>
      <c r="G171" s="505"/>
      <c r="H171" s="566">
        <f>F171*E171*D171</f>
        <v>5.76</v>
      </c>
      <c r="I171" s="495"/>
      <c r="J171" s="496"/>
      <c r="K171" s="496"/>
      <c r="L171" s="489"/>
      <c r="N171" s="497"/>
      <c r="O171" s="498"/>
      <c r="P171" s="498"/>
    </row>
    <row r="172" spans="1:16" ht="15.75">
      <c r="A172" s="598"/>
      <c r="B172" s="599"/>
      <c r="C172" s="503" t="s">
        <v>219</v>
      </c>
      <c r="D172" s="491" t="s">
        <v>163</v>
      </c>
      <c r="E172" s="492">
        <v>0.6</v>
      </c>
      <c r="F172" s="504">
        <v>1.2</v>
      </c>
      <c r="G172" s="505"/>
      <c r="H172" s="566">
        <f>F172*E172*8*2</f>
        <v>11.52</v>
      </c>
      <c r="I172" s="495"/>
      <c r="J172" s="496"/>
      <c r="K172" s="496"/>
      <c r="L172" s="489"/>
      <c r="N172" s="497"/>
      <c r="O172" s="498"/>
      <c r="P172" s="498"/>
    </row>
    <row r="173" spans="1:16" ht="30">
      <c r="A173" s="598"/>
      <c r="B173" s="599"/>
      <c r="C173" s="503" t="s">
        <v>177</v>
      </c>
      <c r="D173" s="541" t="s">
        <v>217</v>
      </c>
      <c r="E173" s="492">
        <v>0.9</v>
      </c>
      <c r="F173" s="504">
        <v>2.15</v>
      </c>
      <c r="G173" s="505"/>
      <c r="H173" s="571">
        <f>F173*E173*8*2*1.125</f>
        <v>34.83</v>
      </c>
      <c r="I173" s="495"/>
      <c r="J173" s="496"/>
      <c r="K173" s="496"/>
      <c r="L173" s="489"/>
      <c r="N173" s="497"/>
      <c r="O173" s="498"/>
      <c r="P173" s="498"/>
    </row>
    <row r="174" spans="1:16" ht="15.75">
      <c r="A174" s="598"/>
      <c r="B174" s="599"/>
      <c r="C174" s="502"/>
      <c r="D174" s="491"/>
      <c r="E174" s="492"/>
      <c r="G174" s="592" t="s">
        <v>43</v>
      </c>
      <c r="H174" s="695">
        <f>SUM(H162:H173)</f>
        <v>166.32</v>
      </c>
      <c r="I174" s="501"/>
      <c r="J174" s="512"/>
      <c r="K174" s="512"/>
      <c r="L174" s="489"/>
      <c r="N174" s="497"/>
      <c r="O174" s="498"/>
      <c r="P174" s="498"/>
    </row>
    <row r="175" spans="1:16" ht="15.75">
      <c r="A175" s="598"/>
      <c r="B175" s="599"/>
      <c r="C175" s="502"/>
      <c r="D175" s="491"/>
      <c r="E175" s="492"/>
      <c r="G175" s="591" t="s">
        <v>10</v>
      </c>
      <c r="H175" s="593">
        <f>ROUNDUP(H174,0)</f>
        <v>167</v>
      </c>
      <c r="I175" s="584" t="s">
        <v>368</v>
      </c>
      <c r="J175" s="585">
        <v>13</v>
      </c>
      <c r="K175" s="585">
        <f>J175*H175</f>
        <v>2171</v>
      </c>
      <c r="L175" s="489"/>
      <c r="N175" s="497"/>
      <c r="O175" s="498"/>
      <c r="P175" s="498"/>
    </row>
    <row r="176" spans="1:16" ht="15.75">
      <c r="A176" s="610"/>
      <c r="B176" s="599"/>
      <c r="C176" s="509"/>
      <c r="D176" s="510"/>
      <c r="E176" s="596"/>
      <c r="F176" s="596"/>
      <c r="G176" s="509"/>
      <c r="H176" s="509"/>
      <c r="I176" s="509"/>
      <c r="J176" s="509"/>
      <c r="K176" s="509"/>
      <c r="L176" s="489"/>
      <c r="N176" s="604"/>
      <c r="O176" s="605"/>
      <c r="P176" s="605"/>
    </row>
    <row r="177" spans="1:16" ht="63" customHeight="1">
      <c r="A177" s="597">
        <f>1+A159</f>
        <v>9</v>
      </c>
      <c r="B177" s="599">
        <v>32.049999999999997</v>
      </c>
      <c r="C177" s="490" t="s">
        <v>379</v>
      </c>
      <c r="D177" s="520"/>
      <c r="E177" s="520"/>
      <c r="F177" s="520"/>
      <c r="G177" s="520"/>
      <c r="H177" s="501"/>
      <c r="I177" s="501"/>
      <c r="J177" s="520"/>
      <c r="K177" s="520"/>
      <c r="L177" s="489"/>
      <c r="N177" s="497"/>
      <c r="O177" s="498"/>
      <c r="P177" s="498"/>
    </row>
    <row r="178" spans="1:16" ht="15.75">
      <c r="A178" s="598"/>
      <c r="C178" s="490" t="s">
        <v>397</v>
      </c>
      <c r="D178" s="520"/>
      <c r="E178" s="520"/>
      <c r="F178" s="520"/>
      <c r="G178" s="520"/>
      <c r="H178" s="520"/>
      <c r="I178" s="520"/>
      <c r="J178" s="520"/>
      <c r="K178" s="520"/>
      <c r="L178" s="537"/>
      <c r="N178" s="497"/>
      <c r="O178" s="498"/>
      <c r="P178" s="498"/>
    </row>
    <row r="179" spans="1:16" ht="15.75">
      <c r="A179" s="598"/>
      <c r="B179" s="599"/>
      <c r="C179" s="490" t="s">
        <v>317</v>
      </c>
      <c r="D179" s="506">
        <v>1</v>
      </c>
      <c r="E179" s="506">
        <f>100%</f>
        <v>1</v>
      </c>
      <c r="F179" s="520"/>
      <c r="G179" s="520">
        <f>H28</f>
        <v>373.79605000000004</v>
      </c>
      <c r="H179" s="569">
        <f>G179*E179</f>
        <v>373.79605000000004</v>
      </c>
      <c r="L179" s="537"/>
      <c r="N179" s="497"/>
      <c r="O179" s="498"/>
      <c r="P179" s="498"/>
    </row>
    <row r="180" spans="1:16" ht="15.75">
      <c r="A180" s="598"/>
      <c r="B180" s="599"/>
      <c r="C180" s="490"/>
      <c r="D180" s="520"/>
      <c r="E180" s="520"/>
      <c r="F180" s="520"/>
      <c r="G180" s="585" t="s">
        <v>10</v>
      </c>
      <c r="H180" s="593">
        <f>ROUNDUP(H179,1)</f>
        <v>373.8</v>
      </c>
      <c r="I180" s="588" t="s">
        <v>367</v>
      </c>
      <c r="J180" s="585">
        <v>289</v>
      </c>
      <c r="K180" s="585">
        <f>J180*H180</f>
        <v>108028.2</v>
      </c>
      <c r="L180" s="537"/>
      <c r="N180" s="497"/>
      <c r="O180" s="498"/>
      <c r="P180" s="498"/>
    </row>
    <row r="181" spans="1:16" ht="15.75">
      <c r="A181" s="598"/>
      <c r="B181" s="599"/>
      <c r="C181" s="490"/>
      <c r="D181" s="520"/>
      <c r="E181" s="520"/>
      <c r="F181" s="520"/>
      <c r="G181" s="520"/>
      <c r="H181" s="501"/>
      <c r="I181" s="507"/>
      <c r="J181" s="512"/>
      <c r="K181" s="512"/>
      <c r="L181" s="537"/>
      <c r="N181" s="497"/>
      <c r="O181" s="498"/>
      <c r="P181" s="498"/>
    </row>
    <row r="182" spans="1:16" ht="90">
      <c r="A182" s="597">
        <f>1+A177</f>
        <v>10</v>
      </c>
      <c r="B182" s="599">
        <v>32.08</v>
      </c>
      <c r="C182" s="490" t="s">
        <v>431</v>
      </c>
      <c r="D182" s="520"/>
      <c r="E182" s="520"/>
      <c r="F182" s="520"/>
      <c r="G182" s="520"/>
      <c r="H182" s="501"/>
      <c r="I182" s="507"/>
      <c r="J182" s="512"/>
      <c r="K182" s="512"/>
      <c r="L182" s="537"/>
      <c r="N182" s="497"/>
      <c r="O182" s="498"/>
      <c r="P182" s="498"/>
    </row>
    <row r="183" spans="1:16" ht="15.75">
      <c r="A183" s="598"/>
      <c r="B183" s="599"/>
      <c r="C183" s="490" t="s">
        <v>432</v>
      </c>
      <c r="D183" s="506">
        <v>1</v>
      </c>
      <c r="E183" s="495">
        <v>1</v>
      </c>
      <c r="F183" s="520"/>
      <c r="G183" s="568">
        <f>H63</f>
        <v>1027.5088999999994</v>
      </c>
      <c r="H183" s="569">
        <f>G183*E183</f>
        <v>1027.5088999999994</v>
      </c>
      <c r="L183" s="537"/>
      <c r="N183" s="497"/>
      <c r="O183" s="498"/>
      <c r="P183" s="498"/>
    </row>
    <row r="184" spans="1:16" ht="15.75">
      <c r="A184" s="598"/>
      <c r="B184" s="599"/>
      <c r="C184" s="490"/>
      <c r="D184" s="734"/>
      <c r="E184" s="520"/>
      <c r="F184" s="520"/>
      <c r="G184" s="585" t="s">
        <v>10</v>
      </c>
      <c r="H184" s="593">
        <f>ROUNDUP(H183,1)</f>
        <v>1027.5999999999999</v>
      </c>
      <c r="I184" s="590" t="s">
        <v>496</v>
      </c>
      <c r="J184" s="589">
        <v>393</v>
      </c>
      <c r="K184" s="589">
        <f>J184*H184</f>
        <v>403846.8</v>
      </c>
      <c r="L184" s="537"/>
      <c r="N184" s="497"/>
      <c r="O184" s="498"/>
      <c r="P184" s="498"/>
    </row>
    <row r="185" spans="1:16" ht="164.25" customHeight="1">
      <c r="A185" s="597">
        <f>1+A182</f>
        <v>11</v>
      </c>
      <c r="B185" s="599">
        <v>32.11</v>
      </c>
      <c r="C185" s="490" t="s">
        <v>433</v>
      </c>
      <c r="D185" s="506"/>
      <c r="E185" s="520"/>
      <c r="F185" s="520"/>
      <c r="G185" s="520"/>
      <c r="H185" s="512"/>
      <c r="I185" s="512"/>
      <c r="J185" s="512"/>
      <c r="K185" s="512"/>
      <c r="L185" s="537"/>
      <c r="N185" s="497"/>
      <c r="O185" s="498"/>
      <c r="P185" s="498"/>
    </row>
    <row r="186" spans="1:16" ht="15.75">
      <c r="A186" s="598"/>
      <c r="B186" s="599"/>
      <c r="C186" s="608" t="s">
        <v>598</v>
      </c>
      <c r="D186" s="506">
        <v>1</v>
      </c>
      <c r="E186" s="735">
        <v>0.6</v>
      </c>
      <c r="F186" s="520"/>
      <c r="G186" s="735">
        <f>H111</f>
        <v>857.12399999999991</v>
      </c>
      <c r="H186" s="569">
        <f>G186*E186*D186</f>
        <v>514.2743999999999</v>
      </c>
      <c r="I186" s="507"/>
      <c r="L186" s="537"/>
      <c r="N186" s="497"/>
      <c r="O186" s="498"/>
      <c r="P186" s="498"/>
    </row>
    <row r="187" spans="1:16" ht="15.75">
      <c r="A187" s="598"/>
      <c r="B187" s="599"/>
      <c r="C187" s="490"/>
      <c r="D187" s="520"/>
      <c r="E187" s="520"/>
      <c r="F187" s="520"/>
      <c r="G187" s="585" t="s">
        <v>10</v>
      </c>
      <c r="H187" s="593">
        <f>ROUNDUP(H186,1)</f>
        <v>514.30000000000007</v>
      </c>
      <c r="I187" s="590" t="s">
        <v>496</v>
      </c>
      <c r="J187" s="585">
        <v>639</v>
      </c>
      <c r="K187" s="585">
        <f>J187*H187</f>
        <v>328637.70000000007</v>
      </c>
      <c r="L187" s="537"/>
      <c r="N187" s="497"/>
      <c r="O187" s="498"/>
      <c r="P187" s="498"/>
    </row>
    <row r="188" spans="1:16" ht="15.75">
      <c r="A188" s="721"/>
      <c r="B188" s="599"/>
      <c r="C188" s="513"/>
      <c r="D188" s="513"/>
      <c r="E188" s="513"/>
      <c r="F188" s="602"/>
      <c r="G188" s="602"/>
      <c r="H188" s="501"/>
      <c r="I188" s="501"/>
      <c r="J188" s="512"/>
      <c r="K188" s="496"/>
      <c r="L188" s="489"/>
      <c r="N188" s="604"/>
      <c r="O188" s="605"/>
      <c r="P188" s="605"/>
    </row>
    <row r="189" spans="1:16" ht="122.25" customHeight="1">
      <c r="A189" s="597">
        <f>1+A185</f>
        <v>12</v>
      </c>
      <c r="B189" s="599">
        <v>36.119999999999997</v>
      </c>
      <c r="C189" s="490" t="s">
        <v>330</v>
      </c>
      <c r="D189" s="496"/>
      <c r="E189" s="496"/>
      <c r="F189" s="496"/>
      <c r="G189" s="496"/>
      <c r="H189" s="496"/>
      <c r="I189" s="496"/>
      <c r="J189" s="514"/>
      <c r="K189" s="496"/>
      <c r="L189" s="542"/>
      <c r="N189" s="497"/>
      <c r="O189" s="498"/>
      <c r="P189" s="498"/>
    </row>
    <row r="190" spans="1:16" ht="15.75">
      <c r="A190" s="598"/>
      <c r="B190" s="599"/>
      <c r="C190" s="603" t="s">
        <v>551</v>
      </c>
      <c r="D190" s="496"/>
      <c r="E190" s="496"/>
      <c r="F190" s="496"/>
      <c r="G190" s="496"/>
      <c r="H190" s="566">
        <f>H180</f>
        <v>373.8</v>
      </c>
      <c r="J190" s="572"/>
      <c r="L190" s="542"/>
      <c r="N190" s="497"/>
      <c r="O190" s="498"/>
      <c r="P190" s="498"/>
    </row>
    <row r="191" spans="1:16" ht="15.75">
      <c r="A191" s="598"/>
      <c r="B191" s="599"/>
      <c r="C191" s="603" t="s">
        <v>552</v>
      </c>
      <c r="D191" s="496"/>
      <c r="E191" s="496"/>
      <c r="F191" s="496"/>
      <c r="G191" s="496"/>
      <c r="H191" s="571">
        <f>H184</f>
        <v>1027.5999999999999</v>
      </c>
      <c r="I191" s="501"/>
      <c r="J191" s="519"/>
      <c r="K191" s="495"/>
      <c r="L191" s="542"/>
      <c r="N191" s="497"/>
      <c r="O191" s="498"/>
      <c r="P191" s="498"/>
    </row>
    <row r="192" spans="1:16" ht="15.75">
      <c r="A192" s="598"/>
      <c r="B192" s="599"/>
      <c r="C192" s="490"/>
      <c r="D192" s="496"/>
      <c r="E192" s="496"/>
      <c r="F192" s="496"/>
      <c r="G192" s="736" t="s">
        <v>43</v>
      </c>
      <c r="H192" s="593">
        <f>SUM(H190:H191)</f>
        <v>1401.3999999999999</v>
      </c>
      <c r="I192" s="588" t="s">
        <v>367</v>
      </c>
      <c r="J192" s="583">
        <v>80</v>
      </c>
      <c r="K192" s="583">
        <f>J192*H192</f>
        <v>112111.99999999999</v>
      </c>
      <c r="L192" s="542"/>
      <c r="N192" s="497"/>
      <c r="O192" s="498"/>
      <c r="P192" s="498"/>
    </row>
    <row r="193" spans="1:16" ht="15.75">
      <c r="A193" s="598"/>
      <c r="B193" s="599"/>
      <c r="C193" s="490"/>
      <c r="D193" s="496"/>
      <c r="E193" s="496"/>
      <c r="F193" s="496"/>
      <c r="G193" s="496"/>
      <c r="H193" s="501"/>
      <c r="I193" s="501"/>
      <c r="J193" s="519"/>
      <c r="K193" s="495"/>
      <c r="L193" s="542"/>
      <c r="N193" s="497"/>
      <c r="O193" s="498"/>
      <c r="P193" s="498"/>
    </row>
    <row r="194" spans="1:16" ht="127.5" customHeight="1">
      <c r="A194" s="573">
        <f>1+A189</f>
        <v>13</v>
      </c>
      <c r="B194" s="677">
        <v>35.24</v>
      </c>
      <c r="C194" s="516" t="s">
        <v>550</v>
      </c>
      <c r="D194" s="496"/>
      <c r="E194" s="496"/>
      <c r="F194" s="496"/>
      <c r="G194" s="496"/>
      <c r="H194" s="501"/>
      <c r="I194" s="501"/>
      <c r="J194" s="519"/>
      <c r="K194" s="495"/>
      <c r="L194" s="543"/>
      <c r="N194" s="969"/>
      <c r="O194" s="970"/>
      <c r="P194" s="970"/>
    </row>
    <row r="195" spans="1:16" ht="15.75">
      <c r="A195" s="610"/>
      <c r="B195" s="558"/>
      <c r="C195" s="490" t="s">
        <v>497</v>
      </c>
      <c r="D195" s="496"/>
      <c r="E195" s="496"/>
      <c r="F195" s="496"/>
      <c r="G195" s="496"/>
      <c r="H195" s="514">
        <f>G186</f>
        <v>857.12399999999991</v>
      </c>
      <c r="I195" s="487"/>
      <c r="J195" s="487"/>
      <c r="K195" s="487"/>
      <c r="L195" s="543"/>
      <c r="N195" s="544"/>
      <c r="O195" s="545"/>
      <c r="P195" s="545"/>
    </row>
    <row r="196" spans="1:16" ht="15.75">
      <c r="A196" s="610"/>
      <c r="B196" s="558"/>
      <c r="C196" s="490"/>
      <c r="D196" s="496"/>
      <c r="E196" s="496"/>
      <c r="F196" s="496"/>
      <c r="G196" s="589" t="s">
        <v>10</v>
      </c>
      <c r="H196" s="583">
        <f>ROUNDUP(H195,1)</f>
        <v>857.2</v>
      </c>
      <c r="I196" s="584" t="s">
        <v>367</v>
      </c>
      <c r="J196" s="583">
        <v>165</v>
      </c>
      <c r="K196" s="583">
        <f>J196*H196</f>
        <v>141438</v>
      </c>
      <c r="L196" s="543"/>
      <c r="N196" s="600"/>
      <c r="O196" s="601"/>
      <c r="P196" s="601"/>
    </row>
    <row r="197" spans="1:16" ht="105">
      <c r="A197" s="597">
        <f>1+A194</f>
        <v>14</v>
      </c>
      <c r="B197" s="599">
        <v>35.25</v>
      </c>
      <c r="C197" s="538" t="s">
        <v>144</v>
      </c>
      <c r="D197" s="496"/>
      <c r="E197" s="496"/>
      <c r="F197" s="496"/>
      <c r="G197" s="496"/>
      <c r="J197" s="572"/>
      <c r="L197" s="543"/>
    </row>
    <row r="198" spans="1:16">
      <c r="A198" s="598"/>
      <c r="B198" s="599"/>
      <c r="C198" s="551" t="s">
        <v>553</v>
      </c>
      <c r="D198" s="540"/>
      <c r="E198" s="534"/>
      <c r="F198" s="534"/>
      <c r="G198" s="534"/>
      <c r="H198" s="584">
        <f>H175</f>
        <v>167</v>
      </c>
      <c r="I198" s="584" t="s">
        <v>367</v>
      </c>
      <c r="J198" s="588">
        <v>96</v>
      </c>
      <c r="K198" s="583">
        <f>J198*H198</f>
        <v>16032</v>
      </c>
      <c r="L198" s="543"/>
    </row>
    <row r="199" spans="1:16" ht="15.75">
      <c r="A199" s="721"/>
      <c r="B199" s="599"/>
      <c r="C199" s="513"/>
      <c r="D199" s="513"/>
      <c r="E199" s="513"/>
      <c r="F199" s="602"/>
      <c r="G199" s="602"/>
      <c r="H199" s="501"/>
      <c r="I199" s="501"/>
      <c r="J199" s="512"/>
      <c r="K199" s="496"/>
      <c r="L199" s="489"/>
      <c r="N199" s="604"/>
      <c r="O199" s="605"/>
      <c r="P199" s="605"/>
    </row>
    <row r="200" spans="1:16" ht="152.25" customHeight="1">
      <c r="A200" s="573">
        <f>1+A197</f>
        <v>15</v>
      </c>
      <c r="B200" s="599">
        <v>33.25</v>
      </c>
      <c r="C200" s="490" t="s">
        <v>594</v>
      </c>
      <c r="D200" s="513"/>
      <c r="E200" s="513"/>
      <c r="F200" s="515"/>
      <c r="G200" s="515"/>
      <c r="H200" s="501"/>
      <c r="I200" s="501"/>
      <c r="J200" s="512"/>
      <c r="K200" s="496"/>
      <c r="L200" s="489"/>
      <c r="N200" s="497"/>
      <c r="O200" s="498"/>
      <c r="P200" s="498"/>
    </row>
    <row r="201" spans="1:16" ht="15.75">
      <c r="A201" s="721"/>
      <c r="B201" s="599"/>
      <c r="C201" s="516" t="s">
        <v>288</v>
      </c>
      <c r="D201" s="513"/>
      <c r="E201" s="513"/>
      <c r="F201" s="515"/>
      <c r="G201" s="515"/>
      <c r="H201" s="501"/>
      <c r="I201" s="501"/>
      <c r="J201" s="512"/>
      <c r="K201" s="496"/>
      <c r="L201" s="489"/>
      <c r="N201" s="497"/>
      <c r="O201" s="498"/>
      <c r="P201" s="498"/>
    </row>
    <row r="202" spans="1:16" ht="15.75">
      <c r="A202" s="721"/>
      <c r="B202" s="599"/>
      <c r="C202" s="517" t="s">
        <v>289</v>
      </c>
      <c r="D202" s="513"/>
      <c r="E202" s="513"/>
      <c r="F202" s="515"/>
      <c r="G202" s="515"/>
      <c r="H202" s="501"/>
      <c r="I202" s="501"/>
      <c r="J202" s="512"/>
      <c r="K202" s="496"/>
      <c r="L202" s="489"/>
      <c r="N202" s="497"/>
      <c r="O202" s="498"/>
      <c r="P202" s="498"/>
    </row>
    <row r="203" spans="1:16" ht="30">
      <c r="A203" s="721"/>
      <c r="B203" s="599"/>
      <c r="C203" s="516" t="s">
        <v>595</v>
      </c>
      <c r="D203" s="518"/>
      <c r="E203" s="659">
        <v>0.6</v>
      </c>
      <c r="F203" s="659"/>
      <c r="G203" s="659">
        <f>H134</f>
        <v>363.19425000000001</v>
      </c>
      <c r="H203" s="659">
        <f>G203*E203</f>
        <v>217.91655</v>
      </c>
      <c r="L203" s="489"/>
      <c r="N203" s="497"/>
      <c r="O203" s="498"/>
      <c r="P203" s="498"/>
    </row>
    <row r="204" spans="1:16" ht="15.75">
      <c r="A204" s="721"/>
      <c r="B204" s="599"/>
      <c r="C204" s="513"/>
      <c r="D204" s="513"/>
      <c r="E204" s="513"/>
      <c r="F204" s="515"/>
      <c r="G204" s="582" t="s">
        <v>10</v>
      </c>
      <c r="H204" s="593">
        <f>ROUNDUP(H203,0)</f>
        <v>218</v>
      </c>
      <c r="I204" s="584" t="s">
        <v>368</v>
      </c>
      <c r="J204" s="588">
        <v>1255</v>
      </c>
      <c r="K204" s="588">
        <f>J204*H204</f>
        <v>273590</v>
      </c>
      <c r="L204" s="489"/>
      <c r="N204" s="497"/>
      <c r="O204" s="498"/>
      <c r="P204" s="498"/>
    </row>
    <row r="205" spans="1:16" ht="15.75">
      <c r="A205" s="598"/>
      <c r="B205" s="599"/>
      <c r="C205" s="490"/>
      <c r="D205" s="491"/>
      <c r="E205" s="492"/>
      <c r="F205" s="493"/>
      <c r="G205" s="515"/>
      <c r="H205" s="523"/>
      <c r="I205" s="523"/>
      <c r="J205" s="524"/>
      <c r="K205" s="524"/>
      <c r="L205" s="489"/>
      <c r="N205" s="497"/>
      <c r="O205" s="498"/>
      <c r="P205" s="498"/>
    </row>
    <row r="206" spans="1:16" ht="203.25" customHeight="1">
      <c r="A206" s="726">
        <f>1+A200</f>
        <v>16</v>
      </c>
      <c r="B206" s="649" t="s">
        <v>410</v>
      </c>
      <c r="C206" s="660" t="s">
        <v>538</v>
      </c>
      <c r="D206" s="650"/>
      <c r="E206" s="651"/>
      <c r="F206" s="651"/>
      <c r="G206" s="651"/>
      <c r="H206" s="651"/>
      <c r="I206" s="651"/>
      <c r="J206" s="651"/>
      <c r="K206" s="651"/>
    </row>
    <row r="207" spans="1:16" ht="30">
      <c r="A207" s="596"/>
      <c r="B207" s="649"/>
      <c r="C207" s="661" t="s">
        <v>349</v>
      </c>
      <c r="D207" s="650"/>
      <c r="E207" s="651"/>
      <c r="F207" s="651"/>
      <c r="G207" s="651"/>
      <c r="H207" s="651"/>
      <c r="I207" s="651"/>
      <c r="J207" s="651"/>
      <c r="K207" s="651"/>
    </row>
    <row r="208" spans="1:16">
      <c r="A208" s="596"/>
      <c r="B208" s="649"/>
      <c r="C208" s="737" t="s">
        <v>576</v>
      </c>
      <c r="D208" s="650"/>
      <c r="E208" s="651"/>
      <c r="F208" s="651"/>
      <c r="G208" s="651"/>
      <c r="H208" s="651"/>
      <c r="I208" s="651"/>
      <c r="J208" s="651"/>
      <c r="K208" s="651"/>
    </row>
    <row r="209" spans="1:16">
      <c r="A209" s="596"/>
      <c r="B209" s="649"/>
      <c r="C209" s="652" t="s">
        <v>539</v>
      </c>
      <c r="D209" s="657">
        <f>8*1</f>
        <v>8</v>
      </c>
      <c r="E209" s="658">
        <v>1.2250000000000001</v>
      </c>
      <c r="F209" s="658">
        <v>1.2250000000000001</v>
      </c>
      <c r="G209" s="657"/>
      <c r="H209" s="659">
        <f>F209*E209*D209</f>
        <v>12.005000000000003</v>
      </c>
      <c r="I209" s="651"/>
      <c r="J209" s="651"/>
      <c r="K209" s="651"/>
    </row>
    <row r="210" spans="1:16">
      <c r="A210" s="596"/>
      <c r="B210" s="649"/>
      <c r="C210" s="653" t="s">
        <v>535</v>
      </c>
      <c r="D210" s="657">
        <f>8*2</f>
        <v>16</v>
      </c>
      <c r="E210" s="658">
        <v>1.2250000000000001</v>
      </c>
      <c r="F210" s="658">
        <v>2.1</v>
      </c>
      <c r="G210" s="657"/>
      <c r="H210" s="659">
        <f t="shared" ref="H210:H214" si="4">F210*E210*D210</f>
        <v>41.160000000000004</v>
      </c>
      <c r="I210" s="651"/>
      <c r="J210" s="651"/>
      <c r="K210" s="651"/>
    </row>
    <row r="211" spans="1:16">
      <c r="A211" s="596"/>
      <c r="B211" s="649"/>
      <c r="C211" s="653"/>
      <c r="D211" s="657">
        <f>8*2</f>
        <v>16</v>
      </c>
      <c r="E211" s="658">
        <v>1.2250000000000001</v>
      </c>
      <c r="F211" s="658">
        <v>2.1</v>
      </c>
      <c r="G211" s="657"/>
      <c r="H211" s="659">
        <f t="shared" si="4"/>
        <v>41.160000000000004</v>
      </c>
      <c r="I211" s="651"/>
      <c r="J211" s="651"/>
      <c r="K211" s="651"/>
    </row>
    <row r="212" spans="1:16">
      <c r="A212" s="596"/>
      <c r="B212" s="649"/>
      <c r="C212" s="652" t="s">
        <v>536</v>
      </c>
      <c r="D212" s="657">
        <f>8*1</f>
        <v>8</v>
      </c>
      <c r="E212" s="658">
        <v>0.95</v>
      </c>
      <c r="F212" s="658">
        <v>1.2250000000000001</v>
      </c>
      <c r="G212" s="657"/>
      <c r="H212" s="659">
        <f t="shared" si="4"/>
        <v>9.31</v>
      </c>
      <c r="I212" s="651"/>
      <c r="J212" s="651"/>
      <c r="K212" s="651"/>
    </row>
    <row r="213" spans="1:16">
      <c r="A213" s="596"/>
      <c r="B213" s="649"/>
      <c r="C213" s="653" t="s">
        <v>537</v>
      </c>
      <c r="D213" s="657">
        <f>8*2</f>
        <v>16</v>
      </c>
      <c r="E213" s="658">
        <v>0.95</v>
      </c>
      <c r="F213" s="658">
        <v>2.1</v>
      </c>
      <c r="G213" s="657"/>
      <c r="H213" s="659">
        <f t="shared" si="4"/>
        <v>31.919999999999998</v>
      </c>
      <c r="I213" s="651"/>
      <c r="J213" s="651"/>
      <c r="K213" s="651"/>
    </row>
    <row r="214" spans="1:16">
      <c r="A214" s="596"/>
      <c r="B214" s="649"/>
      <c r="C214" s="653"/>
      <c r="D214" s="657">
        <f>8*2</f>
        <v>16</v>
      </c>
      <c r="E214" s="658">
        <v>1.2250000000000001</v>
      </c>
      <c r="F214" s="658">
        <v>2.1</v>
      </c>
      <c r="G214" s="657"/>
      <c r="H214" s="659">
        <f t="shared" si="4"/>
        <v>41.160000000000004</v>
      </c>
      <c r="I214" s="651"/>
      <c r="J214" s="651"/>
      <c r="K214" s="651"/>
    </row>
    <row r="215" spans="1:16">
      <c r="A215" s="596"/>
      <c r="B215" s="649"/>
      <c r="C215" s="652"/>
      <c r="D215" s="657"/>
      <c r="E215" s="657"/>
      <c r="F215" s="657"/>
      <c r="G215" s="657" t="s">
        <v>43</v>
      </c>
      <c r="H215" s="659">
        <f>SUM(H209:H211)</f>
        <v>94.325000000000017</v>
      </c>
      <c r="I215" s="651"/>
      <c r="J215" s="651"/>
      <c r="K215" s="651"/>
    </row>
    <row r="216" spans="1:16">
      <c r="A216" s="596"/>
      <c r="B216" s="649"/>
      <c r="C216" s="652"/>
      <c r="D216" s="650"/>
      <c r="E216" s="651"/>
      <c r="F216" s="651"/>
      <c r="G216" s="654" t="s">
        <v>10</v>
      </c>
      <c r="H216" s="655">
        <f>ROUNDUP(H215,1)</f>
        <v>94.399999999999991</v>
      </c>
      <c r="I216" s="738" t="s">
        <v>368</v>
      </c>
      <c r="J216" s="656">
        <v>1769</v>
      </c>
      <c r="K216" s="656">
        <f>J216*H216</f>
        <v>166993.59999999998</v>
      </c>
    </row>
    <row r="217" spans="1:16" ht="15.75">
      <c r="A217" s="598"/>
      <c r="B217" s="599"/>
      <c r="C217" s="490"/>
      <c r="D217" s="491"/>
      <c r="E217" s="492"/>
      <c r="F217" s="493"/>
      <c r="G217" s="602"/>
      <c r="H217" s="523"/>
      <c r="I217" s="523"/>
      <c r="J217" s="524"/>
      <c r="K217" s="524"/>
      <c r="L217" s="489"/>
      <c r="N217" s="604"/>
      <c r="O217" s="605"/>
      <c r="P217" s="605"/>
    </row>
    <row r="218" spans="1:16" ht="135">
      <c r="A218" s="597">
        <f>1+A206</f>
        <v>17</v>
      </c>
      <c r="B218" s="599">
        <v>33.26</v>
      </c>
      <c r="C218" s="490" t="s">
        <v>502</v>
      </c>
      <c r="D218" s="491"/>
      <c r="E218" s="492"/>
      <c r="F218" s="493"/>
      <c r="G218" s="602"/>
      <c r="H218" s="523"/>
      <c r="I218" s="523"/>
      <c r="J218" s="524"/>
      <c r="K218" s="524"/>
      <c r="L218" s="489"/>
      <c r="N218" s="604"/>
      <c r="O218" s="605"/>
      <c r="P218" s="605"/>
    </row>
    <row r="219" spans="1:16" ht="30">
      <c r="A219" s="598"/>
      <c r="B219" s="599"/>
      <c r="C219" s="516" t="s">
        <v>602</v>
      </c>
      <c r="D219" s="491"/>
      <c r="E219" s="492">
        <v>0.7</v>
      </c>
      <c r="F219" s="493"/>
      <c r="G219" s="1002">
        <f>H143</f>
        <v>278.57280000000003</v>
      </c>
      <c r="H219" s="1003">
        <f>G219*E219</f>
        <v>195.00096000000002</v>
      </c>
      <c r="I219" s="523"/>
      <c r="J219" s="487"/>
      <c r="K219" s="524"/>
      <c r="L219" s="489"/>
      <c r="N219" s="604"/>
      <c r="O219" s="605"/>
      <c r="P219" s="605"/>
    </row>
    <row r="220" spans="1:16" ht="15.75">
      <c r="A220" s="598"/>
      <c r="B220" s="599"/>
      <c r="C220" s="490"/>
      <c r="D220" s="491"/>
      <c r="E220" s="492"/>
      <c r="F220" s="493"/>
      <c r="G220" s="582" t="s">
        <v>10</v>
      </c>
      <c r="H220" s="593">
        <f>ROUNDUP(H219,1)</f>
        <v>195.1</v>
      </c>
      <c r="I220" s="584" t="s">
        <v>368</v>
      </c>
      <c r="J220" s="612">
        <v>1278</v>
      </c>
      <c r="K220" s="612">
        <f>J220*H220</f>
        <v>249337.8</v>
      </c>
      <c r="L220" s="489"/>
      <c r="N220" s="604"/>
      <c r="O220" s="605"/>
      <c r="P220" s="605"/>
    </row>
    <row r="221" spans="1:16" ht="15.75">
      <c r="A221" s="598"/>
      <c r="B221" s="599"/>
      <c r="C221" s="490"/>
      <c r="D221" s="491"/>
      <c r="E221" s="492"/>
      <c r="F221" s="493"/>
      <c r="G221" s="490"/>
      <c r="H221" s="490"/>
      <c r="I221" s="490"/>
      <c r="J221" s="490"/>
      <c r="K221" s="490"/>
      <c r="L221" s="489"/>
      <c r="N221" s="604"/>
      <c r="O221" s="605"/>
      <c r="P221" s="605"/>
    </row>
    <row r="222" spans="1:16" ht="60.75" customHeight="1">
      <c r="A222" s="597">
        <f>1+A218</f>
        <v>18</v>
      </c>
      <c r="B222" s="599">
        <v>24.04</v>
      </c>
      <c r="C222" s="538" t="s">
        <v>592</v>
      </c>
      <c r="D222" s="491"/>
      <c r="E222" s="492"/>
      <c r="F222" s="492"/>
      <c r="G222" s="515"/>
      <c r="H222" s="501"/>
      <c r="I222" s="501"/>
      <c r="J222" s="512"/>
      <c r="K222" s="512"/>
      <c r="L222" s="489"/>
      <c r="N222" s="497"/>
      <c r="O222" s="498"/>
      <c r="P222" s="498"/>
    </row>
    <row r="223" spans="1:16" ht="15.75">
      <c r="A223" s="598"/>
      <c r="B223" s="599"/>
      <c r="C223" s="492" t="s">
        <v>415</v>
      </c>
      <c r="D223" s="648"/>
      <c r="E223" s="501"/>
      <c r="F223" s="492"/>
      <c r="G223" s="515"/>
      <c r="H223" s="501"/>
      <c r="I223" s="501"/>
      <c r="J223" s="512"/>
      <c r="K223" s="512"/>
      <c r="L223" s="489"/>
      <c r="N223" s="497"/>
      <c r="O223" s="498"/>
      <c r="P223" s="498"/>
    </row>
    <row r="224" spans="1:16" ht="15.75">
      <c r="A224" s="598"/>
      <c r="B224" s="599"/>
      <c r="C224" s="492" t="s">
        <v>418</v>
      </c>
      <c r="D224" s="648"/>
      <c r="E224" s="501"/>
      <c r="F224" s="492"/>
      <c r="G224" s="515"/>
      <c r="H224" s="501"/>
      <c r="I224" s="501"/>
      <c r="J224" s="512"/>
      <c r="K224" s="512"/>
      <c r="L224" s="489"/>
      <c r="N224" s="497"/>
      <c r="O224" s="498"/>
      <c r="P224" s="498"/>
    </row>
    <row r="225" spans="1:16" ht="15.75" customHeight="1">
      <c r="A225" s="598"/>
      <c r="B225" s="599"/>
      <c r="C225" s="613" t="s">
        <v>132</v>
      </c>
      <c r="D225" s="491">
        <v>2</v>
      </c>
      <c r="E225" s="495">
        <v>18</v>
      </c>
      <c r="F225" s="492">
        <v>1.5</v>
      </c>
      <c r="G225" s="492">
        <v>0.15</v>
      </c>
      <c r="H225" s="566">
        <f>D225*E225*F225*G225</f>
        <v>8.1</v>
      </c>
      <c r="I225" s="495"/>
      <c r="J225" s="512"/>
      <c r="K225" s="512"/>
      <c r="L225" s="489"/>
      <c r="N225" s="497"/>
      <c r="O225" s="498"/>
      <c r="P225" s="498"/>
    </row>
    <row r="226" spans="1:16" ht="15.75">
      <c r="A226" s="598"/>
      <c r="B226" s="599"/>
      <c r="C226" s="492"/>
      <c r="D226" s="491">
        <v>2</v>
      </c>
      <c r="E226" s="495">
        <v>9.6999999999999993</v>
      </c>
      <c r="F226" s="492">
        <v>1.5</v>
      </c>
      <c r="G226" s="492">
        <v>0.15</v>
      </c>
      <c r="H226" s="566">
        <f>D226*E226*F226*G226</f>
        <v>4.3649999999999993</v>
      </c>
      <c r="I226" s="495"/>
      <c r="J226" s="512"/>
      <c r="K226" s="512"/>
      <c r="L226" s="489"/>
      <c r="N226" s="497"/>
      <c r="O226" s="498"/>
      <c r="P226" s="498"/>
    </row>
    <row r="227" spans="1:16" ht="15.75">
      <c r="A227" s="598"/>
      <c r="B227" s="599"/>
      <c r="C227" s="514" t="s">
        <v>534</v>
      </c>
      <c r="D227" s="491">
        <v>30</v>
      </c>
      <c r="E227" s="495">
        <v>0.3</v>
      </c>
      <c r="F227" s="492">
        <v>0.3</v>
      </c>
      <c r="G227" s="492">
        <v>0.6</v>
      </c>
      <c r="H227" s="566">
        <f>D227*E227*F227*G227</f>
        <v>1.6199999999999999</v>
      </c>
      <c r="I227" s="495"/>
      <c r="J227" s="512"/>
      <c r="K227" s="512"/>
      <c r="L227" s="489"/>
      <c r="N227" s="604"/>
      <c r="O227" s="605"/>
      <c r="P227" s="605"/>
    </row>
    <row r="228" spans="1:16" ht="15.75">
      <c r="A228" s="598"/>
      <c r="B228" s="599"/>
      <c r="C228" s="514" t="s">
        <v>593</v>
      </c>
      <c r="D228" s="491">
        <v>1</v>
      </c>
      <c r="E228" s="495">
        <v>5</v>
      </c>
      <c r="F228" s="492">
        <v>0.3</v>
      </c>
      <c r="G228" s="492">
        <v>0.3</v>
      </c>
      <c r="H228" s="566">
        <f>D228*E228*F228*G228</f>
        <v>0.44999999999999996</v>
      </c>
      <c r="I228" s="495"/>
      <c r="J228" s="512"/>
      <c r="K228" s="512"/>
      <c r="L228" s="489"/>
      <c r="N228" s="606"/>
      <c r="O228" s="607"/>
      <c r="P228" s="607"/>
    </row>
    <row r="229" spans="1:16" ht="15.75">
      <c r="A229" s="598"/>
      <c r="B229" s="599"/>
      <c r="C229" s="492"/>
      <c r="D229" s="648"/>
      <c r="E229" s="501"/>
      <c r="G229" s="500" t="s">
        <v>43</v>
      </c>
      <c r="H229" s="569">
        <f>SUM(H225:H228)</f>
        <v>14.534999999999998</v>
      </c>
      <c r="I229" s="501"/>
      <c r="J229" s="512"/>
      <c r="K229" s="512"/>
      <c r="L229" s="489"/>
      <c r="N229" s="497"/>
      <c r="O229" s="498"/>
      <c r="P229" s="498"/>
    </row>
    <row r="230" spans="1:16" ht="15.75">
      <c r="A230" s="598"/>
      <c r="B230" s="599"/>
      <c r="C230" s="539"/>
      <c r="D230" s="491"/>
      <c r="E230" s="492"/>
      <c r="F230" s="492"/>
      <c r="G230" s="585" t="s">
        <v>10</v>
      </c>
      <c r="H230" s="593">
        <f>ROUNDUP(H229,1)</f>
        <v>14.6</v>
      </c>
      <c r="I230" s="584" t="s">
        <v>375</v>
      </c>
      <c r="J230" s="588">
        <v>6359</v>
      </c>
      <c r="K230" s="585">
        <f>J230*H230</f>
        <v>92841.4</v>
      </c>
      <c r="L230" s="489"/>
      <c r="N230" s="497"/>
      <c r="O230" s="498"/>
      <c r="P230" s="498"/>
    </row>
    <row r="231" spans="1:16" ht="15.75">
      <c r="A231" s="598"/>
      <c r="B231" s="599"/>
      <c r="C231" s="539"/>
      <c r="D231" s="539"/>
      <c r="E231" s="539"/>
      <c r="F231" s="539"/>
      <c r="G231" s="539"/>
      <c r="H231" s="539"/>
      <c r="I231" s="539"/>
      <c r="J231" s="539"/>
      <c r="K231" s="539"/>
      <c r="L231" s="489"/>
      <c r="N231" s="497"/>
      <c r="O231" s="498"/>
      <c r="P231" s="498"/>
    </row>
    <row r="232" spans="1:16" ht="120">
      <c r="A232" s="597">
        <f>1+A222</f>
        <v>19</v>
      </c>
      <c r="B232" s="599">
        <v>33.659999999999997</v>
      </c>
      <c r="C232" s="490" t="s">
        <v>508</v>
      </c>
      <c r="D232" s="491"/>
      <c r="E232" s="492"/>
      <c r="F232" s="493"/>
      <c r="G232" s="490"/>
      <c r="H232" s="490"/>
      <c r="I232" s="490"/>
      <c r="J232" s="490"/>
      <c r="K232" s="490"/>
      <c r="L232" s="489"/>
      <c r="N232" s="604"/>
      <c r="O232" s="605"/>
      <c r="P232" s="605"/>
    </row>
    <row r="233" spans="1:16" ht="15.75">
      <c r="A233" s="598"/>
      <c r="B233" s="599"/>
      <c r="C233" s="996" t="s">
        <v>132</v>
      </c>
      <c r="D233" s="491">
        <v>2</v>
      </c>
      <c r="E233" s="492">
        <v>21</v>
      </c>
      <c r="F233" s="492">
        <v>1.5</v>
      </c>
      <c r="G233" s="496"/>
      <c r="H233" s="514">
        <f>D233*E233*F233</f>
        <v>63</v>
      </c>
      <c r="I233" s="496"/>
      <c r="J233" s="490"/>
      <c r="K233" s="490"/>
      <c r="L233" s="489"/>
      <c r="N233" s="604"/>
      <c r="O233" s="605"/>
      <c r="P233" s="605"/>
    </row>
    <row r="234" spans="1:16" ht="15.75">
      <c r="A234" s="598"/>
      <c r="B234" s="599"/>
      <c r="C234" s="496"/>
      <c r="D234" s="491">
        <v>2</v>
      </c>
      <c r="E234" s="492">
        <v>7.5</v>
      </c>
      <c r="F234" s="492">
        <v>1.5</v>
      </c>
      <c r="G234" s="496"/>
      <c r="H234" s="514">
        <f>D234*E234*F234</f>
        <v>22.5</v>
      </c>
      <c r="I234" s="496"/>
      <c r="J234" s="490"/>
      <c r="K234" s="490"/>
      <c r="L234" s="489"/>
      <c r="N234" s="604"/>
      <c r="O234" s="605"/>
      <c r="P234" s="605"/>
    </row>
    <row r="235" spans="1:16" ht="15.75">
      <c r="A235" s="598"/>
      <c r="B235" s="599"/>
      <c r="C235" s="490"/>
      <c r="D235" s="491"/>
      <c r="E235" s="492"/>
      <c r="F235" s="493"/>
      <c r="G235" s="490"/>
      <c r="H235" s="696">
        <f>SUM(H233:H234)</f>
        <v>85.5</v>
      </c>
      <c r="I235" s="490"/>
      <c r="J235" s="490"/>
      <c r="K235" s="490"/>
      <c r="L235" s="489"/>
      <c r="N235" s="604"/>
      <c r="O235" s="605"/>
      <c r="P235" s="605"/>
    </row>
    <row r="236" spans="1:16" ht="15.75">
      <c r="A236" s="598"/>
      <c r="B236" s="599"/>
      <c r="C236" s="490"/>
      <c r="D236" s="491"/>
      <c r="E236" s="492"/>
      <c r="F236" s="493"/>
      <c r="G236" s="585" t="s">
        <v>10</v>
      </c>
      <c r="H236" s="593">
        <f>ROUNDUP(H235,1)</f>
        <v>85.5</v>
      </c>
      <c r="I236" s="612" t="s">
        <v>496</v>
      </c>
      <c r="J236" s="612">
        <v>735</v>
      </c>
      <c r="K236" s="612">
        <f>J236*H236</f>
        <v>62842.5</v>
      </c>
      <c r="L236" s="489"/>
      <c r="N236" s="604"/>
      <c r="O236" s="605"/>
      <c r="P236" s="605"/>
    </row>
    <row r="237" spans="1:16" ht="15.75">
      <c r="A237" s="598"/>
      <c r="B237" s="599"/>
      <c r="C237" s="539"/>
      <c r="D237" s="539"/>
      <c r="E237" s="539"/>
      <c r="F237" s="539"/>
      <c r="G237" s="539"/>
      <c r="H237" s="539"/>
      <c r="I237" s="539"/>
      <c r="J237" s="539"/>
      <c r="K237" s="539"/>
      <c r="L237" s="489"/>
      <c r="N237" s="604"/>
      <c r="O237" s="605"/>
      <c r="P237" s="605"/>
    </row>
    <row r="238" spans="1:16" ht="180">
      <c r="A238" s="727">
        <f>1+A232</f>
        <v>20</v>
      </c>
      <c r="B238" s="677">
        <v>39.11</v>
      </c>
      <c r="C238" s="678" t="s">
        <v>575</v>
      </c>
      <c r="D238" s="649"/>
      <c r="E238" s="679"/>
      <c r="F238" s="679"/>
      <c r="G238" s="679"/>
      <c r="H238" s="679"/>
      <c r="I238" s="679"/>
      <c r="J238" s="679"/>
      <c r="K238" s="679"/>
    </row>
    <row r="239" spans="1:16">
      <c r="A239" s="671"/>
      <c r="B239" s="649"/>
      <c r="C239" s="680" t="s">
        <v>273</v>
      </c>
      <c r="D239" s="688">
        <v>36</v>
      </c>
      <c r="E239" s="689">
        <v>0.92500000000000004</v>
      </c>
      <c r="F239" s="689">
        <v>2.2000000000000002</v>
      </c>
      <c r="G239" s="678"/>
      <c r="H239" s="678">
        <f>F239*E239*D239</f>
        <v>73.260000000000005</v>
      </c>
      <c r="I239" s="679"/>
      <c r="J239" s="679"/>
      <c r="K239" s="679"/>
    </row>
    <row r="240" spans="1:16">
      <c r="A240" s="671"/>
      <c r="B240" s="649"/>
      <c r="C240" s="681"/>
      <c r="D240" s="649"/>
      <c r="E240" s="679"/>
      <c r="F240" s="679"/>
      <c r="G240" s="585" t="s">
        <v>10</v>
      </c>
      <c r="H240" s="593">
        <f>ROUNDUP(H239,1)</f>
        <v>73.3</v>
      </c>
      <c r="I240" s="690" t="s">
        <v>545</v>
      </c>
      <c r="J240" s="691">
        <v>2826</v>
      </c>
      <c r="K240" s="690">
        <f>J240*H240</f>
        <v>207145.8</v>
      </c>
    </row>
    <row r="241" spans="1:16" ht="15.75">
      <c r="A241" s="598"/>
      <c r="B241" s="599"/>
      <c r="C241" s="539"/>
      <c r="D241" s="539"/>
      <c r="E241" s="539"/>
      <c r="F241" s="539"/>
      <c r="G241" s="539"/>
      <c r="H241" s="539"/>
      <c r="I241" s="539"/>
      <c r="J241" s="539"/>
      <c r="K241" s="539"/>
      <c r="L241" s="489"/>
      <c r="N241" s="604"/>
      <c r="O241" s="605"/>
      <c r="P241" s="605"/>
    </row>
    <row r="242" spans="1:16" ht="105" customHeight="1">
      <c r="A242" s="727">
        <f>1+A238</f>
        <v>21</v>
      </c>
      <c r="B242" s="649">
        <v>33.36</v>
      </c>
      <c r="C242" s="678" t="s">
        <v>547</v>
      </c>
      <c r="D242" s="649"/>
      <c r="E242" s="679"/>
      <c r="F242" s="679"/>
      <c r="G242" s="679"/>
      <c r="H242" s="679"/>
      <c r="I242" s="679"/>
      <c r="J242" s="679"/>
      <c r="K242" s="679"/>
    </row>
    <row r="243" spans="1:16">
      <c r="A243" s="671"/>
      <c r="B243" s="649"/>
      <c r="C243" s="680" t="s">
        <v>548</v>
      </c>
      <c r="D243" s="649">
        <v>12</v>
      </c>
      <c r="E243" s="745">
        <v>0.82</v>
      </c>
      <c r="F243" s="745">
        <v>0.16</v>
      </c>
      <c r="G243" s="679"/>
      <c r="H243" s="746">
        <f>D243*E243*F243</f>
        <v>1.5744</v>
      </c>
      <c r="I243" s="679"/>
      <c r="J243" s="679"/>
      <c r="K243" s="679"/>
    </row>
    <row r="244" spans="1:16">
      <c r="A244" s="671"/>
      <c r="B244" s="649"/>
      <c r="C244" s="680" t="s">
        <v>549</v>
      </c>
      <c r="D244" s="649">
        <v>24</v>
      </c>
      <c r="E244" s="745">
        <v>2.2000000000000002</v>
      </c>
      <c r="F244" s="745">
        <v>0.16</v>
      </c>
      <c r="G244" s="679"/>
      <c r="H244" s="747">
        <f>D244*E244*F244</f>
        <v>8.4480000000000004</v>
      </c>
      <c r="I244" s="679"/>
      <c r="J244" s="679"/>
      <c r="K244" s="679"/>
    </row>
    <row r="245" spans="1:16">
      <c r="A245" s="671"/>
      <c r="B245" s="649"/>
      <c r="C245" s="681"/>
      <c r="D245" s="649"/>
      <c r="E245" s="679"/>
      <c r="G245" s="692" t="s">
        <v>43</v>
      </c>
      <c r="H245" s="748">
        <f>SUM(H243:H244)</f>
        <v>10.022400000000001</v>
      </c>
      <c r="I245" s="679"/>
      <c r="J245" s="679"/>
      <c r="K245" s="679"/>
    </row>
    <row r="246" spans="1:16">
      <c r="A246" s="671"/>
      <c r="B246" s="649"/>
      <c r="C246" s="681"/>
      <c r="D246" s="649"/>
      <c r="E246" s="679"/>
      <c r="G246" s="1005" t="s">
        <v>10</v>
      </c>
      <c r="H246" s="1004">
        <f>ROUNDUP(H245,1)</f>
        <v>10.1</v>
      </c>
      <c r="I246" s="1005" t="s">
        <v>368</v>
      </c>
      <c r="J246" s="1004">
        <v>4019</v>
      </c>
      <c r="K246" s="1004">
        <f>J246*H246</f>
        <v>40591.9</v>
      </c>
    </row>
    <row r="247" spans="1:16" ht="15.75">
      <c r="A247" s="598"/>
      <c r="B247" s="599"/>
      <c r="C247" s="539"/>
      <c r="D247" s="539"/>
      <c r="E247" s="539"/>
      <c r="F247" s="539"/>
      <c r="G247" s="539"/>
      <c r="H247" s="539"/>
      <c r="I247" s="539"/>
      <c r="J247" s="539"/>
      <c r="K247" s="539"/>
      <c r="L247" s="489"/>
      <c r="N247" s="604"/>
      <c r="O247" s="605"/>
      <c r="P247" s="605"/>
    </row>
    <row r="248" spans="1:16" ht="255">
      <c r="A248" s="597">
        <f>1+A242</f>
        <v>22</v>
      </c>
      <c r="B248" s="599">
        <v>41.78</v>
      </c>
      <c r="C248" s="516" t="s">
        <v>600</v>
      </c>
      <c r="D248" s="539"/>
      <c r="E248" s="539"/>
      <c r="F248" s="539"/>
      <c r="G248" s="539"/>
      <c r="H248" s="539"/>
      <c r="I248" s="539"/>
      <c r="J248" s="539"/>
      <c r="K248" s="539"/>
      <c r="L248" s="489"/>
      <c r="N248" s="606"/>
      <c r="O248" s="607"/>
      <c r="P248" s="607"/>
    </row>
    <row r="249" spans="1:16" ht="15.75">
      <c r="A249" s="598"/>
      <c r="B249" s="599"/>
      <c r="C249" s="1000" t="s">
        <v>601</v>
      </c>
      <c r="D249" s="725">
        <v>4</v>
      </c>
      <c r="E249" s="799">
        <v>3</v>
      </c>
      <c r="F249" s="799">
        <v>0.6</v>
      </c>
      <c r="G249" s="626"/>
      <c r="H249" s="1001">
        <f>F249*E249*D249</f>
        <v>7.1999999999999993</v>
      </c>
      <c r="I249" s="538"/>
      <c r="J249" s="538"/>
      <c r="K249" s="538"/>
      <c r="L249" s="489"/>
      <c r="N249" s="606"/>
      <c r="O249" s="607"/>
      <c r="P249" s="607"/>
    </row>
    <row r="250" spans="1:16" ht="15.75">
      <c r="A250" s="598"/>
      <c r="B250" s="599"/>
      <c r="C250" s="539"/>
      <c r="D250" s="538"/>
      <c r="E250" s="538"/>
      <c r="F250" s="538"/>
      <c r="G250" s="693" t="s">
        <v>10</v>
      </c>
      <c r="H250" s="694">
        <f>ROUNDUP(H249,1)</f>
        <v>7.2</v>
      </c>
      <c r="I250" s="690" t="s">
        <v>368</v>
      </c>
      <c r="J250" s="790">
        <v>9827</v>
      </c>
      <c r="K250" s="790">
        <f>J250*H250</f>
        <v>70754.400000000009</v>
      </c>
      <c r="L250" s="489"/>
      <c r="N250" s="606"/>
      <c r="O250" s="607"/>
      <c r="P250" s="607"/>
    </row>
    <row r="251" spans="1:16" ht="15.75">
      <c r="A251" s="598"/>
      <c r="B251" s="599"/>
      <c r="C251" s="539"/>
      <c r="D251" s="538"/>
      <c r="E251" s="538"/>
      <c r="F251" s="538"/>
      <c r="G251" s="538"/>
      <c r="H251" s="538"/>
      <c r="I251" s="538"/>
      <c r="J251" s="538"/>
      <c r="K251" s="538"/>
      <c r="L251" s="489"/>
      <c r="N251" s="606"/>
      <c r="O251" s="607"/>
      <c r="P251" s="607"/>
    </row>
    <row r="252" spans="1:16" ht="120">
      <c r="A252" s="727">
        <f>1+A248</f>
        <v>23</v>
      </c>
      <c r="B252" s="677">
        <v>39.58</v>
      </c>
      <c r="C252" s="516" t="s">
        <v>574</v>
      </c>
      <c r="D252" s="649"/>
      <c r="E252" s="679"/>
      <c r="F252" s="679"/>
      <c r="G252" s="679"/>
      <c r="H252" s="679"/>
      <c r="I252" s="679"/>
      <c r="J252" s="679"/>
      <c r="K252" s="679"/>
    </row>
    <row r="253" spans="1:16">
      <c r="A253" s="671"/>
      <c r="B253" s="649"/>
      <c r="C253" s="680" t="s">
        <v>577</v>
      </c>
      <c r="D253" s="649">
        <v>24</v>
      </c>
      <c r="E253" s="749">
        <v>0.8</v>
      </c>
      <c r="F253" s="749">
        <v>2.2000000000000002</v>
      </c>
      <c r="G253" s="679"/>
      <c r="H253" s="679">
        <f>F253*E253*D253</f>
        <v>42.240000000000009</v>
      </c>
      <c r="I253" s="679"/>
      <c r="J253" s="679"/>
      <c r="K253" s="679"/>
    </row>
    <row r="254" spans="1:16">
      <c r="A254" s="671"/>
      <c r="B254" s="649"/>
      <c r="C254" s="681"/>
      <c r="D254" s="649"/>
      <c r="E254" s="679"/>
      <c r="F254" s="679"/>
      <c r="G254" s="679"/>
      <c r="H254" s="690">
        <f>H253</f>
        <v>42.240000000000009</v>
      </c>
      <c r="I254" s="487"/>
      <c r="J254" s="487"/>
      <c r="K254" s="487"/>
    </row>
    <row r="255" spans="1:16" ht="15.75">
      <c r="A255" s="598"/>
      <c r="B255" s="599"/>
      <c r="C255" s="539"/>
      <c r="D255" s="539"/>
      <c r="E255" s="539"/>
      <c r="F255" s="539"/>
      <c r="G255" s="693" t="s">
        <v>10</v>
      </c>
      <c r="H255" s="694">
        <f>ROUNDUP(H254,1)</f>
        <v>42.300000000000004</v>
      </c>
      <c r="I255" s="690" t="s">
        <v>545</v>
      </c>
      <c r="J255" s="691">
        <v>3274</v>
      </c>
      <c r="K255" s="691">
        <f>J255*H255</f>
        <v>138490.20000000001</v>
      </c>
      <c r="L255" s="489"/>
      <c r="N255" s="604"/>
      <c r="O255" s="605"/>
      <c r="P255" s="605"/>
    </row>
    <row r="256" spans="1:16" ht="15.75">
      <c r="A256" s="598"/>
      <c r="B256" s="599"/>
      <c r="C256" s="539"/>
      <c r="D256" s="539"/>
      <c r="E256" s="539"/>
      <c r="F256" s="539"/>
      <c r="G256" s="539"/>
      <c r="H256" s="539"/>
      <c r="I256" s="539"/>
      <c r="J256" s="539"/>
      <c r="K256" s="539"/>
      <c r="L256" s="489"/>
      <c r="N256" s="604"/>
      <c r="O256" s="605"/>
      <c r="P256" s="605"/>
    </row>
    <row r="257" spans="1:14" ht="210.75" customHeight="1">
      <c r="A257" s="727">
        <f>1+A252</f>
        <v>24</v>
      </c>
      <c r="B257" s="677">
        <v>39.26</v>
      </c>
      <c r="C257" s="678" t="s">
        <v>591</v>
      </c>
      <c r="D257" s="649"/>
      <c r="E257" s="679"/>
      <c r="F257" s="679"/>
      <c r="G257" s="679"/>
      <c r="H257" s="679"/>
      <c r="I257" s="679"/>
      <c r="J257" s="679"/>
      <c r="K257" s="679"/>
      <c r="L257" s="627"/>
    </row>
    <row r="258" spans="1:14">
      <c r="A258" s="671"/>
      <c r="B258" s="649"/>
      <c r="C258" s="680" t="s">
        <v>546</v>
      </c>
      <c r="D258" s="678">
        <v>1</v>
      </c>
      <c r="E258" s="689">
        <v>2.4</v>
      </c>
      <c r="F258" s="689">
        <v>2.2000000000000002</v>
      </c>
      <c r="G258" s="679"/>
      <c r="H258" s="690">
        <f>F258*E258*D258</f>
        <v>5.28</v>
      </c>
      <c r="I258" s="487"/>
      <c r="J258" s="487"/>
      <c r="K258" s="487"/>
    </row>
    <row r="259" spans="1:14">
      <c r="A259" s="671"/>
      <c r="B259" s="677"/>
      <c r="C259" s="681"/>
      <c r="D259" s="649"/>
      <c r="E259" s="679"/>
      <c r="F259" s="679"/>
      <c r="G259" s="693" t="s">
        <v>10</v>
      </c>
      <c r="H259" s="694">
        <f>ROUNDUP(H258,1)</f>
        <v>5.3</v>
      </c>
      <c r="I259" s="690" t="s">
        <v>545</v>
      </c>
      <c r="J259" s="691">
        <v>4011</v>
      </c>
      <c r="K259" s="691">
        <f>J259*H259</f>
        <v>21258.3</v>
      </c>
    </row>
    <row r="260" spans="1:14">
      <c r="A260" s="626"/>
      <c r="B260" s="626"/>
      <c r="C260" s="624"/>
      <c r="D260" s="505"/>
      <c r="E260" s="629"/>
      <c r="F260" s="624"/>
      <c r="G260" s="624"/>
      <c r="H260" s="625"/>
      <c r="I260" s="624"/>
      <c r="J260" s="625"/>
      <c r="K260" s="625"/>
      <c r="N260" s="622"/>
    </row>
    <row r="261" spans="1:14" ht="135">
      <c r="A261" s="725">
        <f>1+A257</f>
        <v>25</v>
      </c>
      <c r="B261" s="626">
        <v>42.26</v>
      </c>
      <c r="C261" s="624" t="s">
        <v>590</v>
      </c>
      <c r="D261" s="505"/>
      <c r="E261" s="629"/>
      <c r="F261" s="624"/>
      <c r="G261" s="624"/>
      <c r="H261" s="625"/>
      <c r="I261" s="624"/>
      <c r="J261" s="625"/>
      <c r="K261" s="625"/>
      <c r="N261" s="622"/>
    </row>
    <row r="262" spans="1:14">
      <c r="A262" s="626"/>
      <c r="B262" s="626"/>
      <c r="C262" s="623" t="s">
        <v>518</v>
      </c>
      <c r="D262" s="505">
        <v>4</v>
      </c>
      <c r="E262" s="629">
        <v>8</v>
      </c>
      <c r="F262" s="624"/>
      <c r="G262" s="624"/>
      <c r="H262" s="632">
        <f>E262*D262</f>
        <v>32</v>
      </c>
      <c r="I262" s="633" t="s">
        <v>516</v>
      </c>
      <c r="J262" s="632">
        <v>422</v>
      </c>
      <c r="K262" s="632">
        <f>J262*H262</f>
        <v>13504</v>
      </c>
      <c r="N262" s="622"/>
    </row>
    <row r="263" spans="1:14">
      <c r="A263" s="626"/>
      <c r="B263" s="626"/>
      <c r="C263" s="624"/>
      <c r="D263" s="505"/>
      <c r="E263" s="629"/>
      <c r="F263" s="624"/>
      <c r="G263" s="624"/>
      <c r="H263" s="625"/>
      <c r="I263" s="624"/>
      <c r="J263" s="624"/>
      <c r="K263" s="624"/>
      <c r="N263" s="622"/>
    </row>
    <row r="264" spans="1:14" ht="122.25" customHeight="1">
      <c r="A264" s="725">
        <f>1+A261</f>
        <v>26</v>
      </c>
      <c r="B264" s="626">
        <v>42.57</v>
      </c>
      <c r="C264" s="630" t="s">
        <v>519</v>
      </c>
      <c r="D264" s="505"/>
      <c r="E264" s="624"/>
      <c r="F264" s="624"/>
      <c r="G264" s="624"/>
      <c r="H264" s="625"/>
      <c r="I264" s="624"/>
      <c r="J264" s="624"/>
      <c r="K264" s="624"/>
      <c r="N264" s="622"/>
    </row>
    <row r="265" spans="1:14">
      <c r="A265" s="626"/>
      <c r="B265" s="626"/>
      <c r="C265" s="623" t="s">
        <v>520</v>
      </c>
      <c r="D265" s="505">
        <v>12</v>
      </c>
      <c r="E265" s="629">
        <v>8</v>
      </c>
      <c r="F265" s="624"/>
      <c r="G265" s="624"/>
      <c r="H265" s="632">
        <f>E265*D265</f>
        <v>96</v>
      </c>
      <c r="I265" s="633" t="s">
        <v>516</v>
      </c>
      <c r="J265" s="632">
        <v>375</v>
      </c>
      <c r="K265" s="632">
        <f>J265*H265</f>
        <v>36000</v>
      </c>
      <c r="N265" s="622"/>
    </row>
    <row r="266" spans="1:14">
      <c r="A266" s="626"/>
      <c r="B266" s="626"/>
      <c r="C266" s="624"/>
      <c r="D266" s="505"/>
      <c r="E266" s="624"/>
      <c r="F266" s="624"/>
      <c r="G266" s="624"/>
      <c r="H266" s="625"/>
      <c r="I266" s="624"/>
      <c r="J266" s="625"/>
      <c r="K266" s="625"/>
      <c r="N266" s="622"/>
    </row>
    <row r="267" spans="1:14" ht="78" customHeight="1">
      <c r="A267" s="725">
        <f>1+A264</f>
        <v>27</v>
      </c>
      <c r="B267" s="626">
        <v>42.55</v>
      </c>
      <c r="C267" s="624" t="s">
        <v>521</v>
      </c>
      <c r="D267" s="505"/>
      <c r="E267" s="624"/>
      <c r="F267" s="624"/>
      <c r="G267" s="624"/>
      <c r="H267" s="625"/>
      <c r="I267" s="624"/>
      <c r="J267" s="625"/>
      <c r="K267" s="625"/>
      <c r="N267" s="622"/>
    </row>
    <row r="268" spans="1:14" ht="25.5">
      <c r="A268" s="626"/>
      <c r="B268" s="626"/>
      <c r="C268" s="995" t="s">
        <v>522</v>
      </c>
      <c r="D268" s="505">
        <v>12</v>
      </c>
      <c r="E268" s="629">
        <v>8</v>
      </c>
      <c r="F268" s="624"/>
      <c r="G268" s="624"/>
      <c r="H268" s="632">
        <f>E268*D268</f>
        <v>96</v>
      </c>
      <c r="I268" s="633" t="s">
        <v>516</v>
      </c>
      <c r="J268" s="632">
        <v>266</v>
      </c>
      <c r="K268" s="632">
        <f>J268*H268</f>
        <v>25536</v>
      </c>
      <c r="N268" s="622"/>
    </row>
    <row r="269" spans="1:14">
      <c r="A269" s="626"/>
      <c r="B269" s="626"/>
      <c r="C269" s="624"/>
      <c r="D269" s="505"/>
      <c r="E269" s="624"/>
      <c r="F269" s="624"/>
      <c r="G269" s="624"/>
      <c r="H269" s="624"/>
      <c r="I269" s="624"/>
      <c r="J269" s="624"/>
      <c r="K269" s="624"/>
      <c r="N269" s="622"/>
    </row>
    <row r="270" spans="1:14">
      <c r="A270" s="626"/>
      <c r="B270" s="626"/>
      <c r="C270" s="624"/>
      <c r="D270" s="505"/>
      <c r="E270" s="624"/>
      <c r="F270" s="624"/>
      <c r="G270" s="624"/>
      <c r="H270" s="624"/>
      <c r="I270" s="624"/>
      <c r="J270" s="624"/>
      <c r="K270" s="624"/>
      <c r="N270" s="622"/>
    </row>
    <row r="271" spans="1:14" ht="47.25" customHeight="1">
      <c r="A271" s="725">
        <f>1+A267</f>
        <v>28</v>
      </c>
      <c r="B271" s="799">
        <v>41.4</v>
      </c>
      <c r="C271" s="630" t="s">
        <v>523</v>
      </c>
      <c r="D271" s="505"/>
      <c r="E271" s="624"/>
      <c r="F271" s="624"/>
      <c r="G271" s="624"/>
      <c r="H271" s="624"/>
      <c r="I271" s="624"/>
      <c r="J271" s="624"/>
      <c r="K271" s="624"/>
      <c r="N271" s="622"/>
    </row>
    <row r="272" spans="1:14">
      <c r="A272" s="626"/>
      <c r="B272" s="626"/>
      <c r="C272" s="623" t="s">
        <v>530</v>
      </c>
      <c r="D272" s="505">
        <v>12</v>
      </c>
      <c r="E272" s="624"/>
      <c r="F272" s="624"/>
      <c r="G272" s="624"/>
      <c r="H272" s="625">
        <f>D272</f>
        <v>12</v>
      </c>
      <c r="I272" s="624"/>
      <c r="J272" s="624"/>
      <c r="K272" s="624"/>
      <c r="N272" s="622"/>
    </row>
    <row r="273" spans="1:14">
      <c r="A273" s="626"/>
      <c r="B273" s="626"/>
      <c r="C273" s="623" t="s">
        <v>524</v>
      </c>
      <c r="D273" s="505">
        <v>24</v>
      </c>
      <c r="E273" s="624"/>
      <c r="F273" s="624"/>
      <c r="G273" s="624"/>
      <c r="H273" s="625">
        <f>D273</f>
        <v>24</v>
      </c>
      <c r="I273" s="624"/>
      <c r="J273" s="624"/>
      <c r="K273" s="624"/>
      <c r="N273" s="622"/>
    </row>
    <row r="274" spans="1:14">
      <c r="A274" s="626"/>
      <c r="B274" s="626"/>
      <c r="C274" s="624"/>
      <c r="D274" s="505"/>
      <c r="E274" s="624"/>
      <c r="F274" s="624"/>
      <c r="G274" s="624"/>
      <c r="H274" s="632">
        <f>SUM(H272:H273)</f>
        <v>36</v>
      </c>
      <c r="I274" s="633" t="s">
        <v>436</v>
      </c>
      <c r="J274" s="634">
        <v>671</v>
      </c>
      <c r="K274" s="632">
        <f>J274*H274</f>
        <v>24156</v>
      </c>
      <c r="N274" s="622"/>
    </row>
    <row r="275" spans="1:14" ht="150">
      <c r="A275" s="725">
        <f>1+A271</f>
        <v>29</v>
      </c>
      <c r="B275" s="799">
        <v>41.6</v>
      </c>
      <c r="C275" s="624" t="s">
        <v>525</v>
      </c>
      <c r="D275" s="505"/>
      <c r="E275" s="624"/>
      <c r="F275" s="624"/>
      <c r="G275" s="624"/>
      <c r="H275" s="624"/>
      <c r="I275" s="624"/>
      <c r="J275" s="624"/>
      <c r="K275" s="624"/>
      <c r="N275" s="622"/>
    </row>
    <row r="276" spans="1:14">
      <c r="A276" s="626"/>
      <c r="B276" s="626"/>
      <c r="C276" s="623" t="s">
        <v>526</v>
      </c>
      <c r="D276" s="505">
        <v>8</v>
      </c>
      <c r="E276" s="624"/>
      <c r="F276" s="624"/>
      <c r="G276" s="624"/>
      <c r="H276" s="632">
        <f>D276</f>
        <v>8</v>
      </c>
      <c r="I276" s="633" t="s">
        <v>436</v>
      </c>
      <c r="J276" s="632">
        <v>4788</v>
      </c>
      <c r="K276" s="632">
        <f>J276*H276</f>
        <v>38304</v>
      </c>
      <c r="N276" s="622"/>
    </row>
    <row r="277" spans="1:14">
      <c r="A277" s="626"/>
      <c r="B277" s="626"/>
      <c r="C277" s="624"/>
      <c r="D277" s="624"/>
      <c r="E277" s="624"/>
      <c r="F277" s="624"/>
      <c r="G277" s="624"/>
      <c r="H277" s="624"/>
      <c r="I277" s="624"/>
      <c r="J277" s="625"/>
      <c r="K277" s="625"/>
      <c r="N277" s="622"/>
    </row>
    <row r="278" spans="1:14" ht="135">
      <c r="A278" s="725">
        <f>1+A275</f>
        <v>30</v>
      </c>
      <c r="B278" s="626">
        <v>43.18</v>
      </c>
      <c r="C278" s="624" t="s">
        <v>527</v>
      </c>
      <c r="D278" s="624"/>
      <c r="E278" s="624"/>
      <c r="F278" s="624"/>
      <c r="G278" s="624"/>
      <c r="H278" s="624"/>
      <c r="I278" s="624"/>
      <c r="J278" s="625"/>
      <c r="K278" s="625"/>
      <c r="N278" s="622"/>
    </row>
    <row r="279" spans="1:14">
      <c r="A279" s="626"/>
      <c r="B279" s="626"/>
      <c r="C279" s="623" t="s">
        <v>554</v>
      </c>
      <c r="D279" s="505">
        <v>12</v>
      </c>
      <c r="E279" s="624"/>
      <c r="F279" s="624"/>
      <c r="G279" s="624"/>
      <c r="H279" s="625">
        <f>D279</f>
        <v>12</v>
      </c>
      <c r="I279" s="624"/>
      <c r="J279" s="625"/>
      <c r="K279" s="625"/>
      <c r="N279" s="622"/>
    </row>
    <row r="280" spans="1:14">
      <c r="A280" s="626"/>
      <c r="B280" s="626"/>
      <c r="C280" s="623" t="s">
        <v>524</v>
      </c>
      <c r="D280" s="505">
        <v>12</v>
      </c>
      <c r="E280" s="624"/>
      <c r="F280" s="624"/>
      <c r="G280" s="624"/>
      <c r="H280" s="750">
        <f>D280</f>
        <v>12</v>
      </c>
      <c r="I280" s="624"/>
      <c r="J280" s="625"/>
      <c r="K280" s="625"/>
      <c r="N280" s="622"/>
    </row>
    <row r="281" spans="1:14">
      <c r="A281" s="626"/>
      <c r="B281" s="626"/>
      <c r="C281" s="624"/>
      <c r="D281" s="624"/>
      <c r="E281" s="624"/>
      <c r="F281" s="624"/>
      <c r="G281" s="624"/>
      <c r="H281" s="751">
        <f>SUM(H279:H280)</f>
        <v>24</v>
      </c>
      <c r="I281" s="633" t="s">
        <v>436</v>
      </c>
      <c r="J281" s="632">
        <v>571</v>
      </c>
      <c r="K281" s="632">
        <f>J281*H281</f>
        <v>13704</v>
      </c>
      <c r="N281" s="622"/>
    </row>
    <row r="282" spans="1:14">
      <c r="A282" s="626"/>
      <c r="B282" s="626"/>
      <c r="C282" s="624"/>
      <c r="D282" s="624"/>
      <c r="E282" s="624"/>
      <c r="F282" s="624"/>
      <c r="G282" s="624"/>
      <c r="H282" s="624"/>
      <c r="I282" s="624"/>
      <c r="J282" s="624"/>
      <c r="K282" s="624"/>
      <c r="N282" s="622"/>
    </row>
    <row r="283" spans="1:14" ht="120">
      <c r="A283" s="725">
        <f>1+A278</f>
        <v>31</v>
      </c>
      <c r="B283" s="626">
        <v>42.53</v>
      </c>
      <c r="C283" s="630" t="s">
        <v>528</v>
      </c>
      <c r="D283" s="624"/>
      <c r="E283" s="624"/>
      <c r="F283" s="624"/>
      <c r="G283" s="624"/>
      <c r="H283" s="624"/>
      <c r="I283" s="624"/>
      <c r="J283" s="624"/>
      <c r="K283" s="624"/>
      <c r="N283" s="622"/>
    </row>
    <row r="284" spans="1:14">
      <c r="A284" s="626"/>
      <c r="B284" s="626"/>
      <c r="C284" s="623" t="s">
        <v>597</v>
      </c>
      <c r="D284" s="505">
        <v>1</v>
      </c>
      <c r="E284" s="631">
        <v>1000</v>
      </c>
      <c r="F284" s="624"/>
      <c r="G284" s="624"/>
      <c r="H284" s="750">
        <f>E284*D284</f>
        <v>1000</v>
      </c>
      <c r="I284" s="624"/>
      <c r="J284" s="624"/>
      <c r="K284" s="624"/>
      <c r="N284" s="622"/>
    </row>
    <row r="285" spans="1:14">
      <c r="A285" s="626"/>
      <c r="B285" s="626"/>
      <c r="C285" s="624"/>
      <c r="D285" s="624"/>
      <c r="E285" s="624"/>
      <c r="F285" s="624"/>
      <c r="G285" s="624"/>
      <c r="H285" s="752">
        <f>SUM(H284:H284)</f>
        <v>1000</v>
      </c>
      <c r="I285" s="632" t="s">
        <v>529</v>
      </c>
      <c r="J285" s="632">
        <v>14</v>
      </c>
      <c r="K285" s="632">
        <f>J285*H285</f>
        <v>14000</v>
      </c>
      <c r="N285" s="622"/>
    </row>
    <row r="286" spans="1:14">
      <c r="A286" s="626"/>
      <c r="B286" s="626"/>
      <c r="C286" s="624"/>
      <c r="D286" s="624"/>
      <c r="E286" s="624"/>
      <c r="F286" s="624"/>
      <c r="G286" s="624"/>
      <c r="H286" s="624"/>
      <c r="I286" s="624"/>
      <c r="J286" s="624"/>
      <c r="K286" s="624"/>
      <c r="N286" s="622"/>
    </row>
    <row r="287" spans="1:14" ht="181.5" customHeight="1">
      <c r="A287" s="725">
        <f>1+A283</f>
        <v>32</v>
      </c>
      <c r="B287" s="626">
        <v>48.32</v>
      </c>
      <c r="C287" s="630" t="s">
        <v>513</v>
      </c>
      <c r="D287" s="505"/>
      <c r="E287" s="624"/>
      <c r="F287" s="624"/>
      <c r="G287" s="624"/>
      <c r="H287" s="625"/>
      <c r="I287" s="624"/>
      <c r="J287" s="624"/>
      <c r="K287" s="624"/>
      <c r="L287" s="627"/>
    </row>
    <row r="288" spans="1:14">
      <c r="A288" s="626"/>
      <c r="B288" s="626"/>
      <c r="C288" s="623" t="s">
        <v>517</v>
      </c>
      <c r="D288" s="505">
        <v>6</v>
      </c>
      <c r="E288" s="624"/>
      <c r="F288" s="624"/>
      <c r="G288" s="624"/>
      <c r="H288" s="632">
        <f>D288</f>
        <v>6</v>
      </c>
      <c r="I288" s="633" t="s">
        <v>436</v>
      </c>
      <c r="J288" s="632">
        <v>6055</v>
      </c>
      <c r="K288" s="632">
        <f>J288*H288</f>
        <v>36330</v>
      </c>
    </row>
    <row r="289" spans="1:16">
      <c r="A289" s="626"/>
      <c r="B289" s="626"/>
      <c r="C289" s="624"/>
      <c r="D289" s="505"/>
      <c r="E289" s="624"/>
      <c r="F289" s="624"/>
      <c r="G289" s="624"/>
      <c r="H289" s="625"/>
      <c r="I289" s="624"/>
      <c r="J289" s="625"/>
      <c r="K289" s="625"/>
    </row>
    <row r="290" spans="1:16" ht="120">
      <c r="A290" s="725">
        <f>1+A287</f>
        <v>33</v>
      </c>
      <c r="B290" s="626">
        <v>48.38</v>
      </c>
      <c r="C290" s="624" t="s">
        <v>514</v>
      </c>
      <c r="D290" s="505"/>
      <c r="E290" s="624"/>
      <c r="F290" s="624"/>
      <c r="G290" s="624"/>
      <c r="H290" s="625"/>
      <c r="I290" s="624"/>
      <c r="J290" s="625"/>
      <c r="K290" s="625"/>
    </row>
    <row r="291" spans="1:16">
      <c r="A291" s="626"/>
      <c r="B291" s="626"/>
      <c r="C291" s="623" t="s">
        <v>517</v>
      </c>
      <c r="D291" s="505">
        <v>8</v>
      </c>
      <c r="E291" s="624"/>
      <c r="F291" s="624"/>
      <c r="G291" s="624"/>
      <c r="H291" s="632">
        <v>8</v>
      </c>
      <c r="I291" s="633" t="s">
        <v>436</v>
      </c>
      <c r="J291" s="632">
        <v>7234</v>
      </c>
      <c r="K291" s="632">
        <f>J291*H291</f>
        <v>57872</v>
      </c>
    </row>
    <row r="292" spans="1:16" ht="15.75">
      <c r="A292" s="598"/>
      <c r="B292" s="599"/>
      <c r="C292" s="539"/>
      <c r="D292" s="539"/>
      <c r="E292" s="539"/>
      <c r="F292" s="539"/>
      <c r="G292" s="539"/>
      <c r="H292" s="539"/>
      <c r="I292" s="539"/>
      <c r="J292" s="539"/>
      <c r="K292" s="539"/>
      <c r="L292" s="489"/>
      <c r="N292" s="604"/>
      <c r="O292" s="605"/>
      <c r="P292" s="605"/>
    </row>
    <row r="293" spans="1:16" ht="150.75">
      <c r="A293" s="728">
        <f>1+A290</f>
        <v>34</v>
      </c>
      <c r="B293" s="637" t="s">
        <v>586</v>
      </c>
      <c r="C293" s="636" t="s">
        <v>531</v>
      </c>
      <c r="D293" s="637"/>
      <c r="E293" s="637"/>
      <c r="F293" s="637"/>
      <c r="G293" s="636"/>
      <c r="H293" s="636"/>
      <c r="I293" s="636"/>
      <c r="J293" s="636"/>
      <c r="K293" s="636"/>
      <c r="L293" s="636"/>
    </row>
    <row r="294" spans="1:16" ht="15.75">
      <c r="A294" s="635"/>
      <c r="B294" s="637"/>
      <c r="C294" s="999" t="s">
        <v>599</v>
      </c>
      <c r="D294" s="637">
        <v>1</v>
      </c>
      <c r="E294" s="638">
        <v>70</v>
      </c>
      <c r="F294" s="636"/>
      <c r="G294" s="636"/>
      <c r="H294" s="639">
        <f>E294</f>
        <v>70</v>
      </c>
      <c r="I294" s="636"/>
      <c r="J294" s="636"/>
      <c r="K294" s="636"/>
    </row>
    <row r="295" spans="1:16" ht="15.75">
      <c r="A295" s="635"/>
      <c r="B295" s="637"/>
      <c r="C295" s="636"/>
      <c r="D295" s="637"/>
      <c r="E295" s="637"/>
      <c r="F295" s="636"/>
      <c r="G295" s="636" t="s">
        <v>44</v>
      </c>
      <c r="H295" s="753">
        <f>SUM(H294)</f>
        <v>70</v>
      </c>
      <c r="I295" s="636"/>
      <c r="J295" s="636"/>
      <c r="K295" s="636"/>
    </row>
    <row r="296" spans="1:16" ht="15.75">
      <c r="A296" s="635"/>
      <c r="B296" s="637"/>
      <c r="C296" s="636"/>
      <c r="D296" s="637"/>
      <c r="E296" s="637"/>
      <c r="F296" s="636"/>
      <c r="G296" s="642" t="s">
        <v>10</v>
      </c>
      <c r="H296" s="1006">
        <f>ROUNDUP(H295,0)</f>
        <v>70</v>
      </c>
      <c r="I296" s="642" t="s">
        <v>516</v>
      </c>
      <c r="J296" s="643">
        <v>508</v>
      </c>
      <c r="K296" s="643">
        <f>J296*H296</f>
        <v>35560</v>
      </c>
    </row>
    <row r="297" spans="1:16" ht="135.75">
      <c r="A297" s="728">
        <f>1+A293</f>
        <v>35</v>
      </c>
      <c r="B297" s="637" t="s">
        <v>532</v>
      </c>
      <c r="C297" s="636" t="s">
        <v>570</v>
      </c>
      <c r="D297" s="637"/>
      <c r="E297" s="637"/>
      <c r="F297" s="637"/>
      <c r="G297" s="636"/>
      <c r="H297" s="636"/>
      <c r="I297" s="636"/>
      <c r="J297" s="636"/>
      <c r="K297" s="636"/>
      <c r="L297" s="636"/>
    </row>
    <row r="298" spans="1:16" ht="15.75">
      <c r="A298" s="635"/>
      <c r="B298" s="637"/>
      <c r="C298" s="636"/>
      <c r="D298" s="637">
        <v>1</v>
      </c>
      <c r="E298" s="637">
        <v>12</v>
      </c>
      <c r="F298" s="637"/>
      <c r="G298" s="637"/>
      <c r="H298" s="753">
        <f>E298</f>
        <v>12</v>
      </c>
      <c r="I298" s="636"/>
      <c r="J298" s="636"/>
      <c r="K298" s="636"/>
    </row>
    <row r="299" spans="1:16" ht="16.5">
      <c r="A299" s="635"/>
      <c r="B299" s="635"/>
      <c r="C299" s="641"/>
      <c r="D299" s="635"/>
      <c r="E299" s="635"/>
      <c r="F299" s="635"/>
      <c r="G299" s="644" t="s">
        <v>10</v>
      </c>
      <c r="H299" s="754">
        <f>ROUNDUP(H298,0)</f>
        <v>12</v>
      </c>
      <c r="I299" s="646" t="s">
        <v>533</v>
      </c>
      <c r="J299" s="647">
        <v>13472</v>
      </c>
      <c r="K299" s="632">
        <f>J299*H299</f>
        <v>161664</v>
      </c>
    </row>
    <row r="300" spans="1:16" ht="15.75">
      <c r="A300" s="598"/>
      <c r="B300" s="599"/>
      <c r="C300" s="539"/>
      <c r="D300" s="539"/>
      <c r="E300" s="539"/>
      <c r="F300" s="539"/>
      <c r="G300" s="539"/>
      <c r="H300" s="539"/>
      <c r="I300" s="539"/>
      <c r="J300" s="539"/>
      <c r="K300" s="539"/>
      <c r="L300" s="489"/>
      <c r="N300" s="604"/>
      <c r="O300" s="605"/>
      <c r="P300" s="605"/>
    </row>
    <row r="301" spans="1:16" ht="190.5" customHeight="1">
      <c r="A301" s="727">
        <f>1+A297</f>
        <v>36</v>
      </c>
      <c r="B301" s="662">
        <v>39.369999999999997</v>
      </c>
      <c r="C301" s="620" t="s">
        <v>569</v>
      </c>
      <c r="D301" s="663"/>
      <c r="E301" s="663"/>
      <c r="F301" s="664"/>
      <c r="G301" s="663"/>
      <c r="H301" s="663"/>
      <c r="I301" s="664"/>
      <c r="J301" s="665"/>
      <c r="K301" s="665"/>
      <c r="L301" s="665"/>
    </row>
    <row r="302" spans="1:16">
      <c r="A302" s="596"/>
      <c r="B302" s="793"/>
      <c r="C302" s="666" t="s">
        <v>171</v>
      </c>
      <c r="D302" s="663">
        <v>12</v>
      </c>
      <c r="E302" s="663">
        <v>1.5</v>
      </c>
      <c r="F302" s="667"/>
      <c r="G302" s="667">
        <v>1.2</v>
      </c>
      <c r="H302" s="664">
        <f>G302*E302*D302</f>
        <v>21.599999999999998</v>
      </c>
      <c r="I302" s="665"/>
      <c r="J302" s="665"/>
      <c r="K302" s="665"/>
    </row>
    <row r="303" spans="1:16">
      <c r="A303" s="596"/>
      <c r="B303" s="793"/>
      <c r="C303" s="666" t="s">
        <v>173</v>
      </c>
      <c r="D303" s="663">
        <v>12</v>
      </c>
      <c r="E303" s="663">
        <v>1</v>
      </c>
      <c r="F303" s="667"/>
      <c r="G303" s="667">
        <v>1.2</v>
      </c>
      <c r="H303" s="664">
        <f t="shared" ref="H303:H304" si="5">G303*E303*D303</f>
        <v>14.399999999999999</v>
      </c>
      <c r="I303" s="665"/>
      <c r="J303" s="665"/>
      <c r="K303" s="665"/>
    </row>
    <row r="304" spans="1:16">
      <c r="A304" s="596"/>
      <c r="B304" s="793"/>
      <c r="C304" s="666" t="s">
        <v>174</v>
      </c>
      <c r="D304" s="663">
        <v>12</v>
      </c>
      <c r="E304" s="663">
        <v>0.6</v>
      </c>
      <c r="F304" s="667"/>
      <c r="G304" s="667">
        <v>1.2</v>
      </c>
      <c r="H304" s="992">
        <f t="shared" si="5"/>
        <v>8.64</v>
      </c>
      <c r="I304" s="665"/>
      <c r="J304" s="665"/>
      <c r="K304" s="665"/>
    </row>
    <row r="305" spans="1:17">
      <c r="A305" s="596"/>
      <c r="B305" s="793"/>
      <c r="C305" s="668"/>
      <c r="D305" s="663"/>
      <c r="E305" s="663"/>
      <c r="F305" s="663"/>
      <c r="G305" s="993" t="s">
        <v>44</v>
      </c>
      <c r="H305" s="994">
        <f>SUM(H302:H304)</f>
        <v>44.64</v>
      </c>
      <c r="I305" s="665"/>
      <c r="J305" s="665"/>
      <c r="K305" s="665"/>
    </row>
    <row r="306" spans="1:17">
      <c r="A306" s="596"/>
      <c r="B306" s="793"/>
      <c r="C306" s="668"/>
      <c r="D306" s="663"/>
      <c r="E306" s="663"/>
      <c r="F306" s="669" t="s">
        <v>541</v>
      </c>
      <c r="G306" s="670"/>
      <c r="H306" s="1007">
        <f>H305/2</f>
        <v>22.32</v>
      </c>
      <c r="I306" s="665"/>
      <c r="J306" s="665"/>
      <c r="K306" s="665"/>
    </row>
    <row r="307" spans="1:17">
      <c r="A307" s="596"/>
      <c r="B307" s="793"/>
      <c r="C307" s="668"/>
      <c r="D307" s="663"/>
      <c r="E307" s="663"/>
      <c r="F307" s="663"/>
      <c r="G307" s="684" t="s">
        <v>540</v>
      </c>
      <c r="H307" s="1008">
        <f>ROUNDUP(H306,0)</f>
        <v>23</v>
      </c>
      <c r="I307" s="685" t="s">
        <v>9</v>
      </c>
      <c r="J307" s="686">
        <v>5479</v>
      </c>
      <c r="K307" s="687">
        <f>J307*H307</f>
        <v>126017</v>
      </c>
    </row>
    <row r="308" spans="1:17" ht="15.75">
      <c r="A308" s="598"/>
      <c r="B308" s="599"/>
      <c r="C308" s="539"/>
      <c r="D308" s="539"/>
      <c r="E308" s="539"/>
      <c r="F308" s="539"/>
      <c r="G308" s="539"/>
      <c r="H308" s="539"/>
      <c r="I308" s="539"/>
      <c r="J308" s="539"/>
      <c r="K308" s="539"/>
      <c r="L308" s="489"/>
      <c r="N308" s="604"/>
      <c r="O308" s="605"/>
      <c r="P308" s="605"/>
    </row>
    <row r="309" spans="1:17" s="985" customFormat="1" ht="135">
      <c r="A309" s="725">
        <f>1+A301</f>
        <v>37</v>
      </c>
      <c r="B309" s="626">
        <v>39.68</v>
      </c>
      <c r="C309" s="624" t="s">
        <v>587</v>
      </c>
      <c r="D309" s="505"/>
      <c r="E309" s="505"/>
      <c r="F309" s="505"/>
      <c r="G309" s="505"/>
      <c r="H309" s="494"/>
      <c r="I309" s="624"/>
      <c r="J309" s="629"/>
      <c r="K309" s="494"/>
      <c r="L309" s="984"/>
    </row>
    <row r="310" spans="1:17" s="985" customFormat="1">
      <c r="A310" s="626"/>
      <c r="B310" s="626"/>
      <c r="C310" s="623" t="s">
        <v>589</v>
      </c>
      <c r="D310" s="505">
        <v>24</v>
      </c>
      <c r="E310" s="629">
        <v>0.6</v>
      </c>
      <c r="F310" s="629"/>
      <c r="G310" s="505">
        <v>1.2</v>
      </c>
      <c r="H310" s="750">
        <f>G310*E310*D310</f>
        <v>17.28</v>
      </c>
      <c r="I310" s="624"/>
      <c r="J310" s="629"/>
      <c r="K310" s="494"/>
      <c r="L310" s="984"/>
    </row>
    <row r="311" spans="1:17" s="985" customFormat="1">
      <c r="A311" s="626"/>
      <c r="B311" s="626"/>
      <c r="C311" s="623"/>
      <c r="D311" s="505"/>
      <c r="E311" s="663"/>
      <c r="F311" s="669" t="s">
        <v>541</v>
      </c>
      <c r="G311" s="670"/>
      <c r="H311" s="755">
        <f>H310/2</f>
        <v>8.64</v>
      </c>
      <c r="I311" s="624"/>
      <c r="J311" s="629"/>
      <c r="K311" s="494"/>
      <c r="L311" s="984"/>
    </row>
    <row r="312" spans="1:17" s="985" customFormat="1">
      <c r="A312" s="626"/>
      <c r="B312" s="626"/>
      <c r="C312" s="624"/>
      <c r="D312" s="505"/>
      <c r="E312" s="505"/>
      <c r="F312" s="986"/>
      <c r="G312" s="991" t="s">
        <v>10</v>
      </c>
      <c r="H312" s="751">
        <f>ROUNDUP(H311,1)</f>
        <v>8.6999999999999993</v>
      </c>
      <c r="I312" s="633" t="s">
        <v>545</v>
      </c>
      <c r="J312" s="990">
        <v>3467</v>
      </c>
      <c r="K312" s="632">
        <f>J312*H312</f>
        <v>30162.899999999998</v>
      </c>
      <c r="L312" s="984"/>
    </row>
    <row r="313" spans="1:17" s="985" customFormat="1" ht="165">
      <c r="A313" s="725">
        <f>1+A309</f>
        <v>38</v>
      </c>
      <c r="B313" s="630" t="s">
        <v>596</v>
      </c>
      <c r="C313" s="624" t="s">
        <v>588</v>
      </c>
      <c r="D313" s="505"/>
      <c r="E313" s="505"/>
      <c r="F313" s="986"/>
      <c r="G313" s="505"/>
      <c r="H313" s="989"/>
      <c r="I313" s="987"/>
      <c r="J313" s="986"/>
      <c r="K313" s="988"/>
      <c r="L313" s="984"/>
    </row>
    <row r="314" spans="1:17" s="985" customFormat="1">
      <c r="A314" s="626"/>
      <c r="B314" s="626"/>
      <c r="C314" s="623" t="s">
        <v>589</v>
      </c>
      <c r="D314" s="505">
        <v>24</v>
      </c>
      <c r="E314" s="629">
        <v>0.6</v>
      </c>
      <c r="F314" s="629"/>
      <c r="G314" s="629">
        <v>1.2</v>
      </c>
      <c r="H314" s="625">
        <f>G314*E314*D314</f>
        <v>17.28</v>
      </c>
      <c r="I314" s="987"/>
      <c r="J314" s="986"/>
      <c r="K314" s="988"/>
      <c r="L314" s="984"/>
    </row>
    <row r="315" spans="1:17" s="985" customFormat="1">
      <c r="A315" s="626"/>
      <c r="B315" s="626"/>
      <c r="C315" s="624"/>
      <c r="D315" s="505"/>
      <c r="E315" s="505"/>
      <c r="F315" s="986"/>
      <c r="G315" s="991" t="s">
        <v>10</v>
      </c>
      <c r="H315" s="751">
        <f>ROUNDUP(H314,0)</f>
        <v>18</v>
      </c>
      <c r="I315" s="633" t="s">
        <v>545</v>
      </c>
      <c r="J315" s="990">
        <v>2058</v>
      </c>
      <c r="K315" s="632">
        <f>J315*H315</f>
        <v>37044</v>
      </c>
      <c r="L315" s="984"/>
    </row>
    <row r="316" spans="1:17" ht="15.75">
      <c r="A316" s="598"/>
      <c r="B316" s="599"/>
      <c r="C316" s="539"/>
      <c r="D316" s="539"/>
      <c r="E316" s="539"/>
      <c r="F316" s="539"/>
      <c r="G316" s="539"/>
      <c r="H316" s="539"/>
      <c r="I316" s="539"/>
      <c r="J316" s="539"/>
      <c r="K316" s="539"/>
      <c r="L316" s="489"/>
      <c r="N316" s="606"/>
      <c r="O316" s="607"/>
      <c r="P316" s="607"/>
    </row>
    <row r="317" spans="1:17" ht="184.5" customHeight="1">
      <c r="A317" s="597">
        <f>1+A313</f>
        <v>39</v>
      </c>
      <c r="B317" s="599">
        <v>23.07</v>
      </c>
      <c r="C317" s="490" t="s">
        <v>434</v>
      </c>
      <c r="D317" s="488"/>
      <c r="E317" s="488"/>
      <c r="F317" s="488"/>
      <c r="G317" s="488"/>
      <c r="H317" s="549"/>
      <c r="I317" s="501"/>
      <c r="J317" s="512"/>
      <c r="K317" s="512"/>
    </row>
    <row r="318" spans="1:17" ht="17.25" customHeight="1">
      <c r="A318" s="597"/>
      <c r="B318" s="599"/>
      <c r="C318" s="603" t="s">
        <v>510</v>
      </c>
      <c r="D318" s="615">
        <v>1</v>
      </c>
      <c r="E318" s="616">
        <v>23</v>
      </c>
      <c r="F318" s="616">
        <v>9</v>
      </c>
      <c r="G318" s="488"/>
      <c r="H318" s="549">
        <f>F318*E318*D318</f>
        <v>207</v>
      </c>
      <c r="I318" s="501"/>
      <c r="J318" s="512"/>
      <c r="K318" s="512"/>
    </row>
    <row r="319" spans="1:17" ht="22.5" customHeight="1">
      <c r="A319" s="597"/>
      <c r="B319" s="599"/>
      <c r="C319" s="603" t="s">
        <v>509</v>
      </c>
      <c r="D319" s="488"/>
      <c r="E319" s="488"/>
      <c r="F319" s="488"/>
      <c r="G319" s="488"/>
      <c r="H319" s="549">
        <f>H318*12</f>
        <v>2484</v>
      </c>
      <c r="I319" s="501"/>
      <c r="J319" s="512"/>
      <c r="K319" s="512"/>
      <c r="L319" s="490" t="s">
        <v>566</v>
      </c>
      <c r="M319" s="488"/>
      <c r="N319" s="616">
        <v>0.7</v>
      </c>
      <c r="O319" s="615"/>
      <c r="P319" s="616">
        <f>H320</f>
        <v>2.484</v>
      </c>
      <c r="Q319" s="697">
        <f>P319*N319</f>
        <v>1.7387999999999999</v>
      </c>
    </row>
    <row r="320" spans="1:17" ht="19.5" customHeight="1">
      <c r="A320" s="597"/>
      <c r="B320" s="599"/>
      <c r="C320" s="490"/>
      <c r="D320" s="488"/>
      <c r="E320" s="488"/>
      <c r="F320" s="488"/>
      <c r="G320" s="488"/>
      <c r="H320" s="617">
        <f>H319/1000</f>
        <v>2.484</v>
      </c>
      <c r="I320" s="501"/>
      <c r="J320" s="512"/>
      <c r="K320" s="512"/>
    </row>
    <row r="321" spans="1:12">
      <c r="A321" s="598"/>
      <c r="B321" s="599"/>
      <c r="C321" s="548"/>
      <c r="D321" s="488"/>
      <c r="E321" s="488"/>
      <c r="F321" s="488"/>
      <c r="G321" s="585" t="s">
        <v>10</v>
      </c>
      <c r="H321" s="593">
        <f>ROUNDUP(H320,1)</f>
        <v>2.5</v>
      </c>
      <c r="I321" s="584" t="s">
        <v>15</v>
      </c>
      <c r="J321" s="698">
        <v>114831</v>
      </c>
      <c r="K321" s="589">
        <f>J321*H321</f>
        <v>287077.5</v>
      </c>
    </row>
    <row r="322" spans="1:12">
      <c r="A322" s="598"/>
      <c r="B322" s="599"/>
      <c r="C322" s="548"/>
      <c r="D322" s="488"/>
      <c r="E322" s="488"/>
      <c r="F322" s="488"/>
      <c r="G322" s="488"/>
      <c r="H322" s="549"/>
      <c r="I322" s="501"/>
      <c r="J322" s="512"/>
      <c r="K322" s="512"/>
    </row>
    <row r="323" spans="1:12" ht="195" customHeight="1">
      <c r="A323" s="597">
        <f>1+A317</f>
        <v>40</v>
      </c>
      <c r="B323" s="599">
        <v>38.35</v>
      </c>
      <c r="C323" s="538" t="s">
        <v>435</v>
      </c>
      <c r="D323" s="488"/>
      <c r="E323" s="488"/>
      <c r="F323" s="488"/>
      <c r="G323" s="488"/>
      <c r="H323" s="549"/>
      <c r="I323" s="522"/>
      <c r="J323" s="550"/>
      <c r="K323" s="550"/>
    </row>
    <row r="324" spans="1:12">
      <c r="A324" s="598"/>
      <c r="B324" s="598"/>
      <c r="C324" s="998" t="s">
        <v>388</v>
      </c>
      <c r="D324" s="491"/>
      <c r="E324" s="492"/>
      <c r="F324" s="488"/>
      <c r="G324" s="492"/>
      <c r="H324" s="495"/>
      <c r="I324" s="522"/>
      <c r="J324" s="550"/>
      <c r="K324" s="550"/>
    </row>
    <row r="325" spans="1:12">
      <c r="A325" s="598"/>
      <c r="B325" s="598"/>
      <c r="C325" s="551" t="s">
        <v>71</v>
      </c>
      <c r="D325" s="491">
        <v>1</v>
      </c>
      <c r="E325" s="492">
        <v>23</v>
      </c>
      <c r="F325" s="618">
        <v>9</v>
      </c>
      <c r="G325" s="492"/>
      <c r="H325" s="566">
        <f>F325*E325*D325</f>
        <v>207</v>
      </c>
      <c r="I325" s="495"/>
      <c r="J325" s="521"/>
      <c r="K325" s="496"/>
    </row>
    <row r="326" spans="1:12">
      <c r="A326" s="598"/>
      <c r="B326" s="598"/>
      <c r="C326" s="508" t="s">
        <v>341</v>
      </c>
      <c r="D326" s="491">
        <v>1</v>
      </c>
      <c r="E326" s="492">
        <v>23</v>
      </c>
      <c r="F326" s="492">
        <v>0.5</v>
      </c>
      <c r="H326" s="566">
        <f>F326*E326*D326</f>
        <v>11.5</v>
      </c>
      <c r="I326" s="522"/>
      <c r="J326" s="550"/>
      <c r="K326" s="550"/>
    </row>
    <row r="327" spans="1:12">
      <c r="A327" s="598"/>
      <c r="B327" s="598"/>
      <c r="C327" s="552"/>
      <c r="D327" s="491"/>
      <c r="E327" s="492"/>
      <c r="F327" s="492"/>
      <c r="G327" s="500" t="s">
        <v>43</v>
      </c>
      <c r="H327" s="569">
        <f>SUM(H324:H326)</f>
        <v>218.5</v>
      </c>
      <c r="I327" s="501"/>
      <c r="J327" s="512"/>
      <c r="K327" s="512"/>
    </row>
    <row r="328" spans="1:12">
      <c r="A328" s="598"/>
      <c r="B328" s="598"/>
      <c r="C328" s="488"/>
      <c r="D328" s="491"/>
      <c r="E328" s="492"/>
      <c r="F328" s="492"/>
      <c r="G328" s="585" t="s">
        <v>10</v>
      </c>
      <c r="H328" s="593">
        <f>ROUNDUP(H327,0)</f>
        <v>219</v>
      </c>
      <c r="I328" s="584" t="s">
        <v>9</v>
      </c>
      <c r="J328" s="585">
        <v>1172</v>
      </c>
      <c r="K328" s="585">
        <f>J328*H328</f>
        <v>256668</v>
      </c>
    </row>
    <row r="329" spans="1:12">
      <c r="A329" s="598"/>
      <c r="B329" s="599"/>
      <c r="C329" s="553"/>
      <c r="D329" s="554"/>
      <c r="E329" s="555"/>
      <c r="F329" s="555"/>
      <c r="G329" s="500"/>
      <c r="H329" s="501"/>
      <c r="I329" s="501"/>
      <c r="J329" s="512"/>
      <c r="K329" s="512"/>
    </row>
    <row r="330" spans="1:12" ht="62.25" customHeight="1">
      <c r="A330" s="573">
        <f>1+A323</f>
        <v>41</v>
      </c>
      <c r="B330" s="599">
        <v>38.08</v>
      </c>
      <c r="C330" s="553" t="s">
        <v>572</v>
      </c>
      <c r="D330" s="522"/>
      <c r="E330" s="522"/>
      <c r="F330" s="522"/>
      <c r="G330" s="492"/>
      <c r="H330" s="495"/>
      <c r="I330" s="495"/>
      <c r="J330" s="496" t="s">
        <v>281</v>
      </c>
      <c r="K330" s="496"/>
      <c r="L330" s="543"/>
    </row>
    <row r="331" spans="1:12">
      <c r="A331" s="495"/>
      <c r="B331" s="599"/>
      <c r="C331" s="998" t="s">
        <v>388</v>
      </c>
      <c r="D331" s="491">
        <v>2</v>
      </c>
      <c r="E331" s="492">
        <v>21</v>
      </c>
      <c r="F331" s="492"/>
      <c r="G331" s="492"/>
      <c r="H331" s="583">
        <f>E331*D331</f>
        <v>42</v>
      </c>
      <c r="I331" s="583" t="s">
        <v>3</v>
      </c>
      <c r="J331" s="585">
        <v>2926</v>
      </c>
      <c r="K331" s="585">
        <f>J331*H331</f>
        <v>122892</v>
      </c>
    </row>
    <row r="332" spans="1:12">
      <c r="A332" s="598"/>
      <c r="B332" s="599"/>
      <c r="C332" s="553"/>
      <c r="D332" s="554"/>
      <c r="E332" s="555"/>
      <c r="F332" s="555"/>
      <c r="G332" s="500"/>
      <c r="H332" s="501"/>
      <c r="I332" s="501"/>
      <c r="J332" s="512"/>
      <c r="K332" s="512"/>
    </row>
    <row r="333" spans="1:12" ht="133.5" customHeight="1">
      <c r="A333" s="573">
        <f>1+A330</f>
        <v>42</v>
      </c>
      <c r="B333" s="619">
        <v>42.28</v>
      </c>
      <c r="C333" s="620" t="s">
        <v>573</v>
      </c>
      <c r="D333" s="491"/>
      <c r="E333" s="492"/>
      <c r="F333" s="492"/>
      <c r="G333" s="492"/>
      <c r="H333" s="495"/>
      <c r="I333" s="501"/>
      <c r="J333" s="512"/>
      <c r="K333" s="512"/>
    </row>
    <row r="334" spans="1:12">
      <c r="A334" s="610"/>
      <c r="B334" s="610"/>
      <c r="C334" s="480" t="s">
        <v>405</v>
      </c>
      <c r="D334" s="491">
        <v>4</v>
      </c>
      <c r="E334" s="492">
        <v>10</v>
      </c>
      <c r="F334" s="492"/>
      <c r="G334" s="492"/>
      <c r="H334" s="743">
        <f>E334*D334</f>
        <v>40</v>
      </c>
      <c r="I334" s="495"/>
      <c r="J334" s="496"/>
      <c r="K334" s="496"/>
    </row>
    <row r="335" spans="1:12">
      <c r="A335" s="610"/>
      <c r="B335" s="610"/>
      <c r="C335" s="488"/>
      <c r="D335" s="491"/>
      <c r="E335" s="492"/>
      <c r="F335" s="492"/>
      <c r="G335" s="595" t="s">
        <v>43</v>
      </c>
      <c r="H335" s="594">
        <f>SUM(H334:H334)</f>
        <v>40</v>
      </c>
      <c r="I335" s="584" t="s">
        <v>3</v>
      </c>
      <c r="J335" s="589">
        <v>594</v>
      </c>
      <c r="K335" s="583">
        <f>J335*H335</f>
        <v>23760</v>
      </c>
    </row>
    <row r="336" spans="1:12">
      <c r="A336" s="610"/>
      <c r="B336" s="610"/>
      <c r="C336" s="488"/>
      <c r="D336" s="491"/>
      <c r="E336" s="492"/>
      <c r="F336" s="492"/>
      <c r="G336" s="488"/>
      <c r="H336" s="488"/>
      <c r="I336" s="488"/>
      <c r="J336" s="488"/>
      <c r="K336" s="488"/>
    </row>
    <row r="337" spans="1:18" ht="91.5" customHeight="1">
      <c r="A337" s="573">
        <f>1+A333</f>
        <v>43</v>
      </c>
      <c r="B337" s="610">
        <v>27.09</v>
      </c>
      <c r="C337" s="630" t="s">
        <v>563</v>
      </c>
      <c r="D337" s="491"/>
      <c r="E337" s="492"/>
      <c r="F337" s="492"/>
      <c r="G337" s="488"/>
      <c r="H337" s="488"/>
      <c r="I337" s="488"/>
      <c r="J337" s="488"/>
      <c r="K337" s="488"/>
    </row>
    <row r="338" spans="1:18">
      <c r="A338" s="610"/>
      <c r="B338" s="610"/>
      <c r="C338" s="997" t="s">
        <v>565</v>
      </c>
      <c r="D338" s="491"/>
      <c r="E338" s="492"/>
      <c r="F338" s="492"/>
      <c r="G338" s="488"/>
      <c r="H338" s="715">
        <v>1</v>
      </c>
      <c r="I338" s="716" t="s">
        <v>564</v>
      </c>
      <c r="J338" s="715">
        <v>7994</v>
      </c>
      <c r="K338" s="715">
        <f>J338*H338</f>
        <v>7994</v>
      </c>
    </row>
    <row r="339" spans="1:18">
      <c r="A339" s="610"/>
      <c r="B339" s="610"/>
      <c r="C339" s="488"/>
      <c r="D339" s="491"/>
      <c r="E339" s="492"/>
      <c r="F339" s="492"/>
      <c r="G339" s="488"/>
      <c r="H339" s="488"/>
      <c r="I339" s="488"/>
      <c r="J339" s="488"/>
      <c r="K339" s="488"/>
    </row>
    <row r="340" spans="1:18" ht="312.75" customHeight="1">
      <c r="A340" s="728">
        <f>1+A337</f>
        <v>44</v>
      </c>
      <c r="B340" s="791">
        <v>25.7</v>
      </c>
      <c r="C340" s="516" t="s">
        <v>581</v>
      </c>
      <c r="D340" s="776"/>
      <c r="E340" s="776"/>
      <c r="F340" s="777"/>
      <c r="G340" s="778"/>
      <c r="H340" s="778"/>
      <c r="I340" s="777"/>
      <c r="J340" s="777"/>
      <c r="K340" s="777"/>
      <c r="L340" s="777"/>
      <c r="N340" s="779"/>
      <c r="R340" s="780"/>
    </row>
    <row r="341" spans="1:18">
      <c r="A341" s="635"/>
      <c r="B341" s="791"/>
      <c r="C341" s="739" t="s">
        <v>565</v>
      </c>
      <c r="D341" s="671">
        <v>1</v>
      </c>
      <c r="E341" s="671"/>
      <c r="F341" s="671"/>
      <c r="G341" s="671"/>
      <c r="H341" s="671"/>
      <c r="I341" s="614">
        <v>2</v>
      </c>
      <c r="J341" s="777"/>
      <c r="K341" s="777"/>
      <c r="L341" s="777"/>
      <c r="N341" s="779"/>
      <c r="R341" s="780"/>
    </row>
    <row r="342" spans="1:18" ht="15.75">
      <c r="A342" s="635"/>
      <c r="B342" s="796"/>
      <c r="C342" s="782"/>
      <c r="D342" s="776"/>
      <c r="E342" s="776"/>
      <c r="F342" s="777"/>
      <c r="G342" s="778"/>
      <c r="H342" s="789" t="s">
        <v>10</v>
      </c>
      <c r="I342" s="643">
        <f>ROUNDUP(I341,1)</f>
        <v>2</v>
      </c>
      <c r="J342" s="643" t="s">
        <v>8</v>
      </c>
      <c r="K342" s="643">
        <v>13932</v>
      </c>
      <c r="L342" s="640">
        <f>K342*I342</f>
        <v>27864</v>
      </c>
      <c r="N342" s="779"/>
      <c r="R342" s="780"/>
    </row>
    <row r="343" spans="1:18">
      <c r="A343" s="610"/>
      <c r="B343" s="610"/>
      <c r="C343" s="488"/>
      <c r="D343" s="491"/>
      <c r="E343" s="492"/>
      <c r="F343" s="492"/>
      <c r="G343" s="488"/>
      <c r="H343" s="488"/>
      <c r="I343" s="488"/>
      <c r="J343" s="488"/>
      <c r="K343" s="488"/>
    </row>
    <row r="344" spans="1:18" ht="189.75" customHeight="1">
      <c r="A344" s="728">
        <f>1+A340</f>
        <v>45</v>
      </c>
      <c r="B344" s="791">
        <v>26.33</v>
      </c>
      <c r="C344" s="636" t="s">
        <v>582</v>
      </c>
      <c r="D344" s="776"/>
      <c r="E344" s="776"/>
      <c r="F344" s="777"/>
      <c r="G344" s="778"/>
      <c r="H344" s="778"/>
      <c r="I344" s="777"/>
      <c r="J344" s="783"/>
      <c r="K344" s="783"/>
      <c r="L344" s="556"/>
      <c r="N344" s="779"/>
      <c r="R344" s="780"/>
    </row>
    <row r="345" spans="1:18">
      <c r="A345" s="635"/>
      <c r="B345" s="796"/>
      <c r="C345" s="784" t="s">
        <v>583</v>
      </c>
      <c r="D345" s="776"/>
      <c r="E345" s="776"/>
      <c r="F345" s="777"/>
      <c r="G345" s="778"/>
      <c r="H345" s="778"/>
      <c r="I345" s="777"/>
      <c r="J345" s="783"/>
      <c r="K345" s="783"/>
      <c r="L345" s="556"/>
      <c r="N345" s="779"/>
      <c r="R345" s="780"/>
    </row>
    <row r="346" spans="1:18">
      <c r="A346" s="635"/>
      <c r="B346" s="796"/>
      <c r="C346" s="785" t="s">
        <v>584</v>
      </c>
      <c r="D346" s="776"/>
      <c r="E346" s="776"/>
      <c r="F346" s="777"/>
      <c r="G346" s="778"/>
      <c r="H346" s="778"/>
      <c r="I346" s="777"/>
      <c r="J346" s="783"/>
      <c r="K346" s="783"/>
      <c r="L346" s="556"/>
      <c r="N346" s="779"/>
      <c r="R346" s="780"/>
    </row>
    <row r="347" spans="1:18" ht="15.75">
      <c r="A347" s="635"/>
      <c r="B347" s="796"/>
      <c r="C347" s="997" t="s">
        <v>585</v>
      </c>
      <c r="D347" s="776"/>
      <c r="E347" s="776"/>
      <c r="F347" s="777"/>
      <c r="G347" s="777"/>
      <c r="H347" s="639">
        <v>0.1</v>
      </c>
      <c r="I347" s="636"/>
      <c r="J347" s="777"/>
      <c r="K347" s="777"/>
      <c r="N347" s="779"/>
      <c r="R347" s="780"/>
    </row>
    <row r="348" spans="1:18">
      <c r="A348" s="635"/>
      <c r="B348" s="796"/>
      <c r="C348" s="781"/>
      <c r="D348" s="776"/>
      <c r="E348" s="776"/>
      <c r="F348" s="777"/>
      <c r="G348" s="789" t="s">
        <v>10</v>
      </c>
      <c r="H348" s="645">
        <f>ROUNDUP(H347,1)</f>
        <v>0.1</v>
      </c>
      <c r="I348" s="645" t="s">
        <v>15</v>
      </c>
      <c r="J348" s="790">
        <v>89703</v>
      </c>
      <c r="K348" s="645">
        <f>J348*H348</f>
        <v>8970.3000000000011</v>
      </c>
      <c r="N348" s="779"/>
      <c r="R348" s="780"/>
    </row>
    <row r="349" spans="1:18" s="51" customFormat="1">
      <c r="A349" s="786"/>
      <c r="B349" s="796"/>
      <c r="C349" s="781"/>
      <c r="D349" s="776"/>
      <c r="E349" s="776"/>
      <c r="F349" s="777"/>
      <c r="G349" s="781"/>
      <c r="H349" s="781"/>
      <c r="I349" s="781"/>
      <c r="J349" s="781"/>
      <c r="K349" s="781"/>
      <c r="L349" s="487"/>
      <c r="N349" s="787"/>
      <c r="R349" s="788"/>
    </row>
    <row r="350" spans="1:18" ht="122.25" customHeight="1">
      <c r="A350" s="727">
        <f>1+A344</f>
        <v>46</v>
      </c>
      <c r="B350" s="671">
        <v>46.59</v>
      </c>
      <c r="C350" s="490" t="s">
        <v>542</v>
      </c>
      <c r="D350" s="671"/>
      <c r="E350" s="490"/>
      <c r="F350" s="490"/>
      <c r="G350" s="490"/>
      <c r="H350" s="490"/>
      <c r="I350" s="490"/>
      <c r="J350" s="490"/>
      <c r="K350" s="490"/>
      <c r="N350" s="622"/>
    </row>
    <row r="351" spans="1:18">
      <c r="A351" s="490"/>
      <c r="B351" s="671"/>
      <c r="C351" s="513" t="s">
        <v>603</v>
      </c>
      <c r="D351" s="671">
        <v>1</v>
      </c>
      <c r="E351" s="672">
        <v>25</v>
      </c>
      <c r="F351" s="490"/>
      <c r="G351" s="490"/>
      <c r="H351" s="645">
        <f>E351</f>
        <v>25</v>
      </c>
      <c r="I351" s="682" t="s">
        <v>533</v>
      </c>
      <c r="J351" s="645">
        <v>752</v>
      </c>
      <c r="K351" s="683">
        <f>J351*H351</f>
        <v>18800</v>
      </c>
      <c r="N351" s="622"/>
    </row>
    <row r="352" spans="1:18" s="51" customFormat="1">
      <c r="A352" s="786"/>
      <c r="B352" s="796"/>
      <c r="C352" s="781"/>
      <c r="D352" s="776"/>
      <c r="E352" s="776"/>
      <c r="F352" s="777"/>
      <c r="G352" s="781"/>
      <c r="H352" s="781"/>
      <c r="I352" s="781"/>
      <c r="J352" s="781"/>
      <c r="K352" s="781"/>
      <c r="L352" s="487"/>
      <c r="N352" s="787"/>
      <c r="R352" s="788"/>
    </row>
    <row r="353" spans="1:18" s="51" customFormat="1">
      <c r="A353" s="786"/>
      <c r="B353" s="796"/>
      <c r="C353" s="781"/>
      <c r="D353" s="776"/>
      <c r="E353" s="776"/>
      <c r="F353" s="777"/>
      <c r="G353" s="781"/>
      <c r="H353" s="781"/>
      <c r="I353" s="781"/>
      <c r="J353" s="781"/>
      <c r="K353" s="781"/>
      <c r="L353" s="487"/>
      <c r="N353" s="787"/>
      <c r="R353" s="788"/>
    </row>
    <row r="354" spans="1:18" s="702" customFormat="1" ht="63.75">
      <c r="A354" s="729">
        <f>1+A350</f>
        <v>47</v>
      </c>
      <c r="B354" s="797" t="s">
        <v>555</v>
      </c>
      <c r="C354" s="620" t="s">
        <v>556</v>
      </c>
      <c r="D354" s="665"/>
      <c r="E354" s="665"/>
      <c r="F354" s="665"/>
      <c r="G354" s="665"/>
      <c r="H354" s="665"/>
      <c r="I354" s="664"/>
      <c r="J354" s="700"/>
      <c r="K354" s="700"/>
      <c r="L354" s="701"/>
    </row>
    <row r="355" spans="1:18" s="702" customFormat="1">
      <c r="A355" s="699"/>
      <c r="B355" s="662"/>
      <c r="C355" s="703" t="s">
        <v>517</v>
      </c>
      <c r="D355" s="704"/>
      <c r="E355" s="705" t="s">
        <v>557</v>
      </c>
      <c r="F355" s="706"/>
      <c r="G355" s="707" t="s">
        <v>558</v>
      </c>
      <c r="H355" s="708"/>
      <c r="I355" s="709"/>
      <c r="J355" s="710"/>
      <c r="K355" s="710"/>
      <c r="L355" s="701"/>
    </row>
    <row r="356" spans="1:18" s="702" customFormat="1">
      <c r="A356" s="699"/>
      <c r="B356" s="662"/>
      <c r="C356" s="711" t="s">
        <v>559</v>
      </c>
      <c r="D356" s="662">
        <v>10</v>
      </c>
      <c r="E356" s="712">
        <v>1.5</v>
      </c>
      <c r="F356" s="713"/>
      <c r="G356" s="662">
        <v>4.3099999999999996</v>
      </c>
      <c r="H356" s="714">
        <f>G356*E356*D356</f>
        <v>64.650000000000006</v>
      </c>
      <c r="I356" s="709"/>
      <c r="J356" s="710"/>
      <c r="K356" s="710"/>
      <c r="L356" s="701"/>
    </row>
    <row r="357" spans="1:18" s="702" customFormat="1">
      <c r="A357" s="699"/>
      <c r="B357" s="662"/>
      <c r="C357" s="711" t="s">
        <v>560</v>
      </c>
      <c r="D357" s="662">
        <v>5</v>
      </c>
      <c r="E357" s="662">
        <v>7</v>
      </c>
      <c r="F357" s="713"/>
      <c r="G357" s="662">
        <v>4.3099999999999996</v>
      </c>
      <c r="H357" s="714">
        <f t="shared" ref="H357:H358" si="6">G357*E357*D357</f>
        <v>150.85</v>
      </c>
      <c r="I357" s="709"/>
      <c r="J357" s="710"/>
      <c r="K357" s="710"/>
      <c r="L357" s="701"/>
    </row>
    <row r="358" spans="1:18" s="702" customFormat="1">
      <c r="A358" s="699"/>
      <c r="B358" s="662"/>
      <c r="C358" s="711" t="s">
        <v>561</v>
      </c>
      <c r="D358" s="662">
        <v>5</v>
      </c>
      <c r="E358" s="662">
        <v>19.079999999999998</v>
      </c>
      <c r="F358" s="713"/>
      <c r="G358" s="662">
        <v>3.36</v>
      </c>
      <c r="H358" s="714">
        <f t="shared" si="6"/>
        <v>320.54399999999993</v>
      </c>
      <c r="I358" s="709"/>
      <c r="J358" s="710"/>
      <c r="K358" s="710"/>
      <c r="L358" s="701"/>
    </row>
    <row r="359" spans="1:18" s="702" customFormat="1" ht="18.75" customHeight="1">
      <c r="A359" s="699"/>
      <c r="B359" s="662"/>
      <c r="C359" s="711" t="s">
        <v>562</v>
      </c>
      <c r="D359" s="662"/>
      <c r="E359" s="662"/>
      <c r="F359" s="713"/>
      <c r="G359" s="713"/>
      <c r="H359" s="714">
        <v>99</v>
      </c>
      <c r="I359" s="709"/>
      <c r="J359" s="710"/>
      <c r="K359" s="710"/>
      <c r="L359" s="701"/>
    </row>
    <row r="360" spans="1:18" s="702" customFormat="1">
      <c r="A360" s="699"/>
      <c r="B360" s="662"/>
      <c r="C360" s="711"/>
      <c r="D360" s="713"/>
      <c r="E360" s="713"/>
      <c r="F360" s="713"/>
      <c r="G360" s="713"/>
      <c r="H360" s="730">
        <f>SUM(H356:H359)</f>
        <v>635.04399999999987</v>
      </c>
      <c r="L360" s="701"/>
    </row>
    <row r="361" spans="1:18" s="702" customFormat="1">
      <c r="A361" s="733"/>
      <c r="B361" s="662"/>
      <c r="C361" s="711"/>
      <c r="D361" s="713"/>
      <c r="E361" s="713"/>
      <c r="F361" s="713"/>
      <c r="G361" s="756" t="s">
        <v>10</v>
      </c>
      <c r="H361" s="757">
        <f>ROUNDUP(H360,0)</f>
        <v>636</v>
      </c>
      <c r="I361" s="731" t="s">
        <v>14</v>
      </c>
      <c r="J361" s="732">
        <v>-20</v>
      </c>
      <c r="K361" s="732">
        <f>J361*H361</f>
        <v>-12720</v>
      </c>
      <c r="L361" s="701"/>
    </row>
    <row r="362" spans="1:18">
      <c r="A362" s="758"/>
      <c r="B362" s="758"/>
      <c r="C362" s="759"/>
      <c r="D362" s="760"/>
      <c r="E362" s="761"/>
      <c r="F362" s="761"/>
      <c r="G362" s="762"/>
      <c r="H362" s="959" t="s">
        <v>44</v>
      </c>
      <c r="I362" s="960"/>
      <c r="J362" s="961"/>
      <c r="K362" s="763">
        <f>SUM(K8:K361)</f>
        <v>3958590.899999999</v>
      </c>
    </row>
    <row r="363" spans="1:18">
      <c r="A363" s="764"/>
      <c r="B363" s="798"/>
      <c r="C363" s="51"/>
      <c r="D363" s="51"/>
      <c r="E363" s="51"/>
      <c r="F363" s="51"/>
      <c r="G363" s="51"/>
      <c r="H363" s="5"/>
      <c r="I363" s="765"/>
      <c r="J363" s="766"/>
      <c r="K363" s="766"/>
      <c r="L363" s="574"/>
    </row>
    <row r="364" spans="1:18">
      <c r="A364" s="764"/>
      <c r="B364" s="798"/>
      <c r="C364" s="51"/>
      <c r="D364" s="51"/>
      <c r="E364" s="51"/>
      <c r="F364" s="51"/>
      <c r="G364" s="51"/>
      <c r="H364" s="5"/>
      <c r="I364" s="767"/>
      <c r="J364" s="768"/>
      <c r="K364" s="768"/>
      <c r="L364" s="574"/>
    </row>
    <row r="365" spans="1:18">
      <c r="A365" s="764"/>
      <c r="B365" s="798"/>
      <c r="C365" s="51"/>
      <c r="D365" s="51"/>
      <c r="E365" s="51"/>
      <c r="F365" s="51"/>
      <c r="G365" s="51"/>
      <c r="H365" s="769"/>
      <c r="I365" s="765"/>
      <c r="J365" s="766"/>
      <c r="K365" s="766"/>
      <c r="L365" s="770"/>
    </row>
    <row r="366" spans="1:18">
      <c r="A366" s="764"/>
      <c r="B366" s="798"/>
      <c r="C366" s="51"/>
      <c r="D366" s="51"/>
      <c r="E366" s="51"/>
      <c r="F366" s="51"/>
      <c r="G366" s="51"/>
      <c r="H366" s="769"/>
      <c r="I366" s="765"/>
      <c r="J366" s="766"/>
      <c r="K366" s="766"/>
      <c r="L366" s="51"/>
      <c r="M366" s="574"/>
    </row>
    <row r="367" spans="1:18">
      <c r="A367" s="764"/>
      <c r="B367" s="798"/>
      <c r="C367" s="51"/>
      <c r="D367" s="51"/>
      <c r="E367" s="51"/>
      <c r="F367" s="51"/>
      <c r="G367" s="51"/>
      <c r="H367" s="769"/>
      <c r="I367" s="765"/>
      <c r="J367" s="766"/>
      <c r="K367" s="766"/>
      <c r="L367" s="51"/>
      <c r="M367" s="574"/>
    </row>
    <row r="368" spans="1:18">
      <c r="A368" s="764"/>
      <c r="B368" s="798"/>
      <c r="C368" s="51"/>
      <c r="D368" s="51"/>
      <c r="E368" s="51"/>
      <c r="F368" s="51"/>
      <c r="G368" s="51"/>
      <c r="H368" s="769"/>
      <c r="I368" s="765"/>
      <c r="J368" s="766"/>
      <c r="K368" s="766"/>
      <c r="L368" s="771"/>
      <c r="M368" s="574"/>
    </row>
    <row r="369" spans="1:13">
      <c r="A369" s="764"/>
      <c r="B369" s="798"/>
      <c r="C369" s="51"/>
      <c r="D369" s="51"/>
      <c r="E369" s="51"/>
      <c r="F369" s="51"/>
      <c r="G369" s="51"/>
      <c r="H369" s="769"/>
      <c r="I369" s="765"/>
      <c r="J369" s="766"/>
      <c r="K369" s="766"/>
      <c r="L369" s="51"/>
      <c r="M369" s="574"/>
    </row>
    <row r="370" spans="1:13">
      <c r="A370" s="764"/>
      <c r="B370" s="798"/>
      <c r="C370" s="51"/>
      <c r="D370" s="51"/>
      <c r="E370" s="51"/>
      <c r="F370" s="51"/>
      <c r="G370" s="51"/>
      <c r="H370" s="769"/>
      <c r="I370" s="765"/>
      <c r="J370" s="766"/>
      <c r="K370" s="766"/>
      <c r="L370" s="51"/>
      <c r="M370" s="574"/>
    </row>
    <row r="371" spans="1:13">
      <c r="A371" s="764"/>
      <c r="B371" s="798"/>
      <c r="C371" s="51"/>
      <c r="D371" s="51"/>
      <c r="E371" s="51"/>
      <c r="F371" s="51"/>
      <c r="G371" s="51"/>
      <c r="H371" s="769"/>
      <c r="I371" s="765"/>
      <c r="J371" s="766"/>
      <c r="K371" s="766"/>
      <c r="L371" s="51"/>
      <c r="M371" s="574"/>
    </row>
    <row r="372" spans="1:13">
      <c r="A372" s="764"/>
      <c r="B372" s="798"/>
      <c r="C372" s="51"/>
      <c r="D372" s="51"/>
      <c r="E372" s="51"/>
      <c r="F372" s="51"/>
      <c r="G372" s="51"/>
      <c r="H372" s="769"/>
      <c r="I372" s="765"/>
      <c r="J372" s="766"/>
      <c r="K372" s="766"/>
      <c r="L372" s="51"/>
      <c r="M372" s="574"/>
    </row>
  </sheetData>
  <mergeCells count="17">
    <mergeCell ref="A1:K1"/>
    <mergeCell ref="A2:K2"/>
    <mergeCell ref="A4:B4"/>
    <mergeCell ref="N7:P7"/>
    <mergeCell ref="N194:P194"/>
    <mergeCell ref="F111:G111"/>
    <mergeCell ref="F144:G144"/>
    <mergeCell ref="H362:J362"/>
    <mergeCell ref="F112:G112"/>
    <mergeCell ref="F113:G113"/>
    <mergeCell ref="C4:K4"/>
    <mergeCell ref="C41:C42"/>
    <mergeCell ref="C43:C44"/>
    <mergeCell ref="F63:G63"/>
    <mergeCell ref="F28:G28"/>
    <mergeCell ref="F134:G134"/>
    <mergeCell ref="F143:G143"/>
  </mergeCells>
  <pageMargins left="0.17" right="0.17" top="0.27" bottom="0.18" header="0.3" footer="0.3"/>
  <pageSetup scale="95" orientation="landscape" verticalDpi="300" r:id="rId1"/>
</worksheet>
</file>

<file path=xl/worksheets/sheet6.xml><?xml version="1.0" encoding="utf-8"?>
<worksheet xmlns="http://schemas.openxmlformats.org/spreadsheetml/2006/main" xmlns:r="http://schemas.openxmlformats.org/officeDocument/2006/relationships">
  <dimension ref="A1:F68"/>
  <sheetViews>
    <sheetView tabSelected="1" view="pageBreakPreview" topLeftCell="A34" zoomScaleSheetLayoutView="100" workbookViewId="0">
      <selection activeCell="B45" sqref="B45:F46"/>
    </sheetView>
  </sheetViews>
  <sheetFormatPr defaultRowHeight="15"/>
  <cols>
    <col min="1" max="1" width="25.5703125" style="1" customWidth="1"/>
    <col min="2" max="2" width="24.140625" style="1" customWidth="1"/>
    <col min="3" max="3" width="6" style="1" customWidth="1"/>
    <col min="4" max="4" width="19.42578125" style="1" customWidth="1"/>
    <col min="5" max="5" width="5" style="1" hidden="1" customWidth="1"/>
    <col min="6" max="256" width="9.140625" style="1"/>
    <col min="257" max="257" width="25.5703125" style="1" customWidth="1"/>
    <col min="258" max="258" width="24.140625" style="1" customWidth="1"/>
    <col min="259" max="259" width="6" style="1" customWidth="1"/>
    <col min="260" max="260" width="19.42578125" style="1" customWidth="1"/>
    <col min="261" max="261" width="0" style="1" hidden="1" customWidth="1"/>
    <col min="262" max="512" width="9.140625" style="1"/>
    <col min="513" max="513" width="25.5703125" style="1" customWidth="1"/>
    <col min="514" max="514" width="24.140625" style="1" customWidth="1"/>
    <col min="515" max="515" width="6" style="1" customWidth="1"/>
    <col min="516" max="516" width="19.42578125" style="1" customWidth="1"/>
    <col min="517" max="517" width="0" style="1" hidden="1" customWidth="1"/>
    <col min="518" max="768" width="9.140625" style="1"/>
    <col min="769" max="769" width="25.5703125" style="1" customWidth="1"/>
    <col min="770" max="770" width="24.140625" style="1" customWidth="1"/>
    <col min="771" max="771" width="6" style="1" customWidth="1"/>
    <col min="772" max="772" width="19.42578125" style="1" customWidth="1"/>
    <col min="773" max="773" width="0" style="1" hidden="1" customWidth="1"/>
    <col min="774" max="1024" width="9.140625" style="1"/>
    <col min="1025" max="1025" width="25.5703125" style="1" customWidth="1"/>
    <col min="1026" max="1026" width="24.140625" style="1" customWidth="1"/>
    <col min="1027" max="1027" width="6" style="1" customWidth="1"/>
    <col min="1028" max="1028" width="19.42578125" style="1" customWidth="1"/>
    <col min="1029" max="1029" width="0" style="1" hidden="1" customWidth="1"/>
    <col min="1030" max="1280" width="9.140625" style="1"/>
    <col min="1281" max="1281" width="25.5703125" style="1" customWidth="1"/>
    <col min="1282" max="1282" width="24.140625" style="1" customWidth="1"/>
    <col min="1283" max="1283" width="6" style="1" customWidth="1"/>
    <col min="1284" max="1284" width="19.42578125" style="1" customWidth="1"/>
    <col min="1285" max="1285" width="0" style="1" hidden="1" customWidth="1"/>
    <col min="1286" max="1536" width="9.140625" style="1"/>
    <col min="1537" max="1537" width="25.5703125" style="1" customWidth="1"/>
    <col min="1538" max="1538" width="24.140625" style="1" customWidth="1"/>
    <col min="1539" max="1539" width="6" style="1" customWidth="1"/>
    <col min="1540" max="1540" width="19.42578125" style="1" customWidth="1"/>
    <col min="1541" max="1541" width="0" style="1" hidden="1" customWidth="1"/>
    <col min="1542" max="1792" width="9.140625" style="1"/>
    <col min="1793" max="1793" width="25.5703125" style="1" customWidth="1"/>
    <col min="1794" max="1794" width="24.140625" style="1" customWidth="1"/>
    <col min="1795" max="1795" width="6" style="1" customWidth="1"/>
    <col min="1796" max="1796" width="19.42578125" style="1" customWidth="1"/>
    <col min="1797" max="1797" width="0" style="1" hidden="1" customWidth="1"/>
    <col min="1798" max="2048" width="9.140625" style="1"/>
    <col min="2049" max="2049" width="25.5703125" style="1" customWidth="1"/>
    <col min="2050" max="2050" width="24.140625" style="1" customWidth="1"/>
    <col min="2051" max="2051" width="6" style="1" customWidth="1"/>
    <col min="2052" max="2052" width="19.42578125" style="1" customWidth="1"/>
    <col min="2053" max="2053" width="0" style="1" hidden="1" customWidth="1"/>
    <col min="2054" max="2304" width="9.140625" style="1"/>
    <col min="2305" max="2305" width="25.5703125" style="1" customWidth="1"/>
    <col min="2306" max="2306" width="24.140625" style="1" customWidth="1"/>
    <col min="2307" max="2307" width="6" style="1" customWidth="1"/>
    <col min="2308" max="2308" width="19.42578125" style="1" customWidth="1"/>
    <col min="2309" max="2309" width="0" style="1" hidden="1" customWidth="1"/>
    <col min="2310" max="2560" width="9.140625" style="1"/>
    <col min="2561" max="2561" width="25.5703125" style="1" customWidth="1"/>
    <col min="2562" max="2562" width="24.140625" style="1" customWidth="1"/>
    <col min="2563" max="2563" width="6" style="1" customWidth="1"/>
    <col min="2564" max="2564" width="19.42578125" style="1" customWidth="1"/>
    <col min="2565" max="2565" width="0" style="1" hidden="1" customWidth="1"/>
    <col min="2566" max="2816" width="9.140625" style="1"/>
    <col min="2817" max="2817" width="25.5703125" style="1" customWidth="1"/>
    <col min="2818" max="2818" width="24.140625" style="1" customWidth="1"/>
    <col min="2819" max="2819" width="6" style="1" customWidth="1"/>
    <col min="2820" max="2820" width="19.42578125" style="1" customWidth="1"/>
    <col min="2821" max="2821" width="0" style="1" hidden="1" customWidth="1"/>
    <col min="2822" max="3072" width="9.140625" style="1"/>
    <col min="3073" max="3073" width="25.5703125" style="1" customWidth="1"/>
    <col min="3074" max="3074" width="24.140625" style="1" customWidth="1"/>
    <col min="3075" max="3075" width="6" style="1" customWidth="1"/>
    <col min="3076" max="3076" width="19.42578125" style="1" customWidth="1"/>
    <col min="3077" max="3077" width="0" style="1" hidden="1" customWidth="1"/>
    <col min="3078" max="3328" width="9.140625" style="1"/>
    <col min="3329" max="3329" width="25.5703125" style="1" customWidth="1"/>
    <col min="3330" max="3330" width="24.140625" style="1" customWidth="1"/>
    <col min="3331" max="3331" width="6" style="1" customWidth="1"/>
    <col min="3332" max="3332" width="19.42578125" style="1" customWidth="1"/>
    <col min="3333" max="3333" width="0" style="1" hidden="1" customWidth="1"/>
    <col min="3334" max="3584" width="9.140625" style="1"/>
    <col min="3585" max="3585" width="25.5703125" style="1" customWidth="1"/>
    <col min="3586" max="3586" width="24.140625" style="1" customWidth="1"/>
    <col min="3587" max="3587" width="6" style="1" customWidth="1"/>
    <col min="3588" max="3588" width="19.42578125" style="1" customWidth="1"/>
    <col min="3589" max="3589" width="0" style="1" hidden="1" customWidth="1"/>
    <col min="3590" max="3840" width="9.140625" style="1"/>
    <col min="3841" max="3841" width="25.5703125" style="1" customWidth="1"/>
    <col min="3842" max="3842" width="24.140625" style="1" customWidth="1"/>
    <col min="3843" max="3843" width="6" style="1" customWidth="1"/>
    <col min="3844" max="3844" width="19.42578125" style="1" customWidth="1"/>
    <col min="3845" max="3845" width="0" style="1" hidden="1" customWidth="1"/>
    <col min="3846" max="4096" width="9.140625" style="1"/>
    <col min="4097" max="4097" width="25.5703125" style="1" customWidth="1"/>
    <col min="4098" max="4098" width="24.140625" style="1" customWidth="1"/>
    <col min="4099" max="4099" width="6" style="1" customWidth="1"/>
    <col min="4100" max="4100" width="19.42578125" style="1" customWidth="1"/>
    <col min="4101" max="4101" width="0" style="1" hidden="1" customWidth="1"/>
    <col min="4102" max="4352" width="9.140625" style="1"/>
    <col min="4353" max="4353" width="25.5703125" style="1" customWidth="1"/>
    <col min="4354" max="4354" width="24.140625" style="1" customWidth="1"/>
    <col min="4355" max="4355" width="6" style="1" customWidth="1"/>
    <col min="4356" max="4356" width="19.42578125" style="1" customWidth="1"/>
    <col min="4357" max="4357" width="0" style="1" hidden="1" customWidth="1"/>
    <col min="4358" max="4608" width="9.140625" style="1"/>
    <col min="4609" max="4609" width="25.5703125" style="1" customWidth="1"/>
    <col min="4610" max="4610" width="24.140625" style="1" customWidth="1"/>
    <col min="4611" max="4611" width="6" style="1" customWidth="1"/>
    <col min="4612" max="4612" width="19.42578125" style="1" customWidth="1"/>
    <col min="4613" max="4613" width="0" style="1" hidden="1" customWidth="1"/>
    <col min="4614" max="4864" width="9.140625" style="1"/>
    <col min="4865" max="4865" width="25.5703125" style="1" customWidth="1"/>
    <col min="4866" max="4866" width="24.140625" style="1" customWidth="1"/>
    <col min="4867" max="4867" width="6" style="1" customWidth="1"/>
    <col min="4868" max="4868" width="19.42578125" style="1" customWidth="1"/>
    <col min="4869" max="4869" width="0" style="1" hidden="1" customWidth="1"/>
    <col min="4870" max="5120" width="9.140625" style="1"/>
    <col min="5121" max="5121" width="25.5703125" style="1" customWidth="1"/>
    <col min="5122" max="5122" width="24.140625" style="1" customWidth="1"/>
    <col min="5123" max="5123" width="6" style="1" customWidth="1"/>
    <col min="5124" max="5124" width="19.42578125" style="1" customWidth="1"/>
    <col min="5125" max="5125" width="0" style="1" hidden="1" customWidth="1"/>
    <col min="5126" max="5376" width="9.140625" style="1"/>
    <col min="5377" max="5377" width="25.5703125" style="1" customWidth="1"/>
    <col min="5378" max="5378" width="24.140625" style="1" customWidth="1"/>
    <col min="5379" max="5379" width="6" style="1" customWidth="1"/>
    <col min="5380" max="5380" width="19.42578125" style="1" customWidth="1"/>
    <col min="5381" max="5381" width="0" style="1" hidden="1" customWidth="1"/>
    <col min="5382" max="5632" width="9.140625" style="1"/>
    <col min="5633" max="5633" width="25.5703125" style="1" customWidth="1"/>
    <col min="5634" max="5634" width="24.140625" style="1" customWidth="1"/>
    <col min="5635" max="5635" width="6" style="1" customWidth="1"/>
    <col min="5636" max="5636" width="19.42578125" style="1" customWidth="1"/>
    <col min="5637" max="5637" width="0" style="1" hidden="1" customWidth="1"/>
    <col min="5638" max="5888" width="9.140625" style="1"/>
    <col min="5889" max="5889" width="25.5703125" style="1" customWidth="1"/>
    <col min="5890" max="5890" width="24.140625" style="1" customWidth="1"/>
    <col min="5891" max="5891" width="6" style="1" customWidth="1"/>
    <col min="5892" max="5892" width="19.42578125" style="1" customWidth="1"/>
    <col min="5893" max="5893" width="0" style="1" hidden="1" customWidth="1"/>
    <col min="5894" max="6144" width="9.140625" style="1"/>
    <col min="6145" max="6145" width="25.5703125" style="1" customWidth="1"/>
    <col min="6146" max="6146" width="24.140625" style="1" customWidth="1"/>
    <col min="6147" max="6147" width="6" style="1" customWidth="1"/>
    <col min="6148" max="6148" width="19.42578125" style="1" customWidth="1"/>
    <col min="6149" max="6149" width="0" style="1" hidden="1" customWidth="1"/>
    <col min="6150" max="6400" width="9.140625" style="1"/>
    <col min="6401" max="6401" width="25.5703125" style="1" customWidth="1"/>
    <col min="6402" max="6402" width="24.140625" style="1" customWidth="1"/>
    <col min="6403" max="6403" width="6" style="1" customWidth="1"/>
    <col min="6404" max="6404" width="19.42578125" style="1" customWidth="1"/>
    <col min="6405" max="6405" width="0" style="1" hidden="1" customWidth="1"/>
    <col min="6406" max="6656" width="9.140625" style="1"/>
    <col min="6657" max="6657" width="25.5703125" style="1" customWidth="1"/>
    <col min="6658" max="6658" width="24.140625" style="1" customWidth="1"/>
    <col min="6659" max="6659" width="6" style="1" customWidth="1"/>
    <col min="6660" max="6660" width="19.42578125" style="1" customWidth="1"/>
    <col min="6661" max="6661" width="0" style="1" hidden="1" customWidth="1"/>
    <col min="6662" max="6912" width="9.140625" style="1"/>
    <col min="6913" max="6913" width="25.5703125" style="1" customWidth="1"/>
    <col min="6914" max="6914" width="24.140625" style="1" customWidth="1"/>
    <col min="6915" max="6915" width="6" style="1" customWidth="1"/>
    <col min="6916" max="6916" width="19.42578125" style="1" customWidth="1"/>
    <col min="6917" max="6917" width="0" style="1" hidden="1" customWidth="1"/>
    <col min="6918" max="7168" width="9.140625" style="1"/>
    <col min="7169" max="7169" width="25.5703125" style="1" customWidth="1"/>
    <col min="7170" max="7170" width="24.140625" style="1" customWidth="1"/>
    <col min="7171" max="7171" width="6" style="1" customWidth="1"/>
    <col min="7172" max="7172" width="19.42578125" style="1" customWidth="1"/>
    <col min="7173" max="7173" width="0" style="1" hidden="1" customWidth="1"/>
    <col min="7174" max="7424" width="9.140625" style="1"/>
    <col min="7425" max="7425" width="25.5703125" style="1" customWidth="1"/>
    <col min="7426" max="7426" width="24.140625" style="1" customWidth="1"/>
    <col min="7427" max="7427" width="6" style="1" customWidth="1"/>
    <col min="7428" max="7428" width="19.42578125" style="1" customWidth="1"/>
    <col min="7429" max="7429" width="0" style="1" hidden="1" customWidth="1"/>
    <col min="7430" max="7680" width="9.140625" style="1"/>
    <col min="7681" max="7681" width="25.5703125" style="1" customWidth="1"/>
    <col min="7682" max="7682" width="24.140625" style="1" customWidth="1"/>
    <col min="7683" max="7683" width="6" style="1" customWidth="1"/>
    <col min="7684" max="7684" width="19.42578125" style="1" customWidth="1"/>
    <col min="7685" max="7685" width="0" style="1" hidden="1" customWidth="1"/>
    <col min="7686" max="7936" width="9.140625" style="1"/>
    <col min="7937" max="7937" width="25.5703125" style="1" customWidth="1"/>
    <col min="7938" max="7938" width="24.140625" style="1" customWidth="1"/>
    <col min="7939" max="7939" width="6" style="1" customWidth="1"/>
    <col min="7940" max="7940" width="19.42578125" style="1" customWidth="1"/>
    <col min="7941" max="7941" width="0" style="1" hidden="1" customWidth="1"/>
    <col min="7942" max="8192" width="9.140625" style="1"/>
    <col min="8193" max="8193" width="25.5703125" style="1" customWidth="1"/>
    <col min="8194" max="8194" width="24.140625" style="1" customWidth="1"/>
    <col min="8195" max="8195" width="6" style="1" customWidth="1"/>
    <col min="8196" max="8196" width="19.42578125" style="1" customWidth="1"/>
    <col min="8197" max="8197" width="0" style="1" hidden="1" customWidth="1"/>
    <col min="8198" max="8448" width="9.140625" style="1"/>
    <col min="8449" max="8449" width="25.5703125" style="1" customWidth="1"/>
    <col min="8450" max="8450" width="24.140625" style="1" customWidth="1"/>
    <col min="8451" max="8451" width="6" style="1" customWidth="1"/>
    <col min="8452" max="8452" width="19.42578125" style="1" customWidth="1"/>
    <col min="8453" max="8453" width="0" style="1" hidden="1" customWidth="1"/>
    <col min="8454" max="8704" width="9.140625" style="1"/>
    <col min="8705" max="8705" width="25.5703125" style="1" customWidth="1"/>
    <col min="8706" max="8706" width="24.140625" style="1" customWidth="1"/>
    <col min="8707" max="8707" width="6" style="1" customWidth="1"/>
    <col min="8708" max="8708" width="19.42578125" style="1" customWidth="1"/>
    <col min="8709" max="8709" width="0" style="1" hidden="1" customWidth="1"/>
    <col min="8710" max="8960" width="9.140625" style="1"/>
    <col min="8961" max="8961" width="25.5703125" style="1" customWidth="1"/>
    <col min="8962" max="8962" width="24.140625" style="1" customWidth="1"/>
    <col min="8963" max="8963" width="6" style="1" customWidth="1"/>
    <col min="8964" max="8964" width="19.42578125" style="1" customWidth="1"/>
    <col min="8965" max="8965" width="0" style="1" hidden="1" customWidth="1"/>
    <col min="8966" max="9216" width="9.140625" style="1"/>
    <col min="9217" max="9217" width="25.5703125" style="1" customWidth="1"/>
    <col min="9218" max="9218" width="24.140625" style="1" customWidth="1"/>
    <col min="9219" max="9219" width="6" style="1" customWidth="1"/>
    <col min="9220" max="9220" width="19.42578125" style="1" customWidth="1"/>
    <col min="9221" max="9221" width="0" style="1" hidden="1" customWidth="1"/>
    <col min="9222" max="9472" width="9.140625" style="1"/>
    <col min="9473" max="9473" width="25.5703125" style="1" customWidth="1"/>
    <col min="9474" max="9474" width="24.140625" style="1" customWidth="1"/>
    <col min="9475" max="9475" width="6" style="1" customWidth="1"/>
    <col min="9476" max="9476" width="19.42578125" style="1" customWidth="1"/>
    <col min="9477" max="9477" width="0" style="1" hidden="1" customWidth="1"/>
    <col min="9478" max="9728" width="9.140625" style="1"/>
    <col min="9729" max="9729" width="25.5703125" style="1" customWidth="1"/>
    <col min="9730" max="9730" width="24.140625" style="1" customWidth="1"/>
    <col min="9731" max="9731" width="6" style="1" customWidth="1"/>
    <col min="9732" max="9732" width="19.42578125" style="1" customWidth="1"/>
    <col min="9733" max="9733" width="0" style="1" hidden="1" customWidth="1"/>
    <col min="9734" max="9984" width="9.140625" style="1"/>
    <col min="9985" max="9985" width="25.5703125" style="1" customWidth="1"/>
    <col min="9986" max="9986" width="24.140625" style="1" customWidth="1"/>
    <col min="9987" max="9987" width="6" style="1" customWidth="1"/>
    <col min="9988" max="9988" width="19.42578125" style="1" customWidth="1"/>
    <col min="9989" max="9989" width="0" style="1" hidden="1" customWidth="1"/>
    <col min="9990" max="10240" width="9.140625" style="1"/>
    <col min="10241" max="10241" width="25.5703125" style="1" customWidth="1"/>
    <col min="10242" max="10242" width="24.140625" style="1" customWidth="1"/>
    <col min="10243" max="10243" width="6" style="1" customWidth="1"/>
    <col min="10244" max="10244" width="19.42578125" style="1" customWidth="1"/>
    <col min="10245" max="10245" width="0" style="1" hidden="1" customWidth="1"/>
    <col min="10246" max="10496" width="9.140625" style="1"/>
    <col min="10497" max="10497" width="25.5703125" style="1" customWidth="1"/>
    <col min="10498" max="10498" width="24.140625" style="1" customWidth="1"/>
    <col min="10499" max="10499" width="6" style="1" customWidth="1"/>
    <col min="10500" max="10500" width="19.42578125" style="1" customWidth="1"/>
    <col min="10501" max="10501" width="0" style="1" hidden="1" customWidth="1"/>
    <col min="10502" max="10752" width="9.140625" style="1"/>
    <col min="10753" max="10753" width="25.5703125" style="1" customWidth="1"/>
    <col min="10754" max="10754" width="24.140625" style="1" customWidth="1"/>
    <col min="10755" max="10755" width="6" style="1" customWidth="1"/>
    <col min="10756" max="10756" width="19.42578125" style="1" customWidth="1"/>
    <col min="10757" max="10757" width="0" style="1" hidden="1" customWidth="1"/>
    <col min="10758" max="11008" width="9.140625" style="1"/>
    <col min="11009" max="11009" width="25.5703125" style="1" customWidth="1"/>
    <col min="11010" max="11010" width="24.140625" style="1" customWidth="1"/>
    <col min="11011" max="11011" width="6" style="1" customWidth="1"/>
    <col min="11012" max="11012" width="19.42578125" style="1" customWidth="1"/>
    <col min="11013" max="11013" width="0" style="1" hidden="1" customWidth="1"/>
    <col min="11014" max="11264" width="9.140625" style="1"/>
    <col min="11265" max="11265" width="25.5703125" style="1" customWidth="1"/>
    <col min="11266" max="11266" width="24.140625" style="1" customWidth="1"/>
    <col min="11267" max="11267" width="6" style="1" customWidth="1"/>
    <col min="11268" max="11268" width="19.42578125" style="1" customWidth="1"/>
    <col min="11269" max="11269" width="0" style="1" hidden="1" customWidth="1"/>
    <col min="11270" max="11520" width="9.140625" style="1"/>
    <col min="11521" max="11521" width="25.5703125" style="1" customWidth="1"/>
    <col min="11522" max="11522" width="24.140625" style="1" customWidth="1"/>
    <col min="11523" max="11523" width="6" style="1" customWidth="1"/>
    <col min="11524" max="11524" width="19.42578125" style="1" customWidth="1"/>
    <col min="11525" max="11525" width="0" style="1" hidden="1" customWidth="1"/>
    <col min="11526" max="11776" width="9.140625" style="1"/>
    <col min="11777" max="11777" width="25.5703125" style="1" customWidth="1"/>
    <col min="11778" max="11778" width="24.140625" style="1" customWidth="1"/>
    <col min="11779" max="11779" width="6" style="1" customWidth="1"/>
    <col min="11780" max="11780" width="19.42578125" style="1" customWidth="1"/>
    <col min="11781" max="11781" width="0" style="1" hidden="1" customWidth="1"/>
    <col min="11782" max="12032" width="9.140625" style="1"/>
    <col min="12033" max="12033" width="25.5703125" style="1" customWidth="1"/>
    <col min="12034" max="12034" width="24.140625" style="1" customWidth="1"/>
    <col min="12035" max="12035" width="6" style="1" customWidth="1"/>
    <col min="12036" max="12036" width="19.42578125" style="1" customWidth="1"/>
    <col min="12037" max="12037" width="0" style="1" hidden="1" customWidth="1"/>
    <col min="12038" max="12288" width="9.140625" style="1"/>
    <col min="12289" max="12289" width="25.5703125" style="1" customWidth="1"/>
    <col min="12290" max="12290" width="24.140625" style="1" customWidth="1"/>
    <col min="12291" max="12291" width="6" style="1" customWidth="1"/>
    <col min="12292" max="12292" width="19.42578125" style="1" customWidth="1"/>
    <col min="12293" max="12293" width="0" style="1" hidden="1" customWidth="1"/>
    <col min="12294" max="12544" width="9.140625" style="1"/>
    <col min="12545" max="12545" width="25.5703125" style="1" customWidth="1"/>
    <col min="12546" max="12546" width="24.140625" style="1" customWidth="1"/>
    <col min="12547" max="12547" width="6" style="1" customWidth="1"/>
    <col min="12548" max="12548" width="19.42578125" style="1" customWidth="1"/>
    <col min="12549" max="12549" width="0" style="1" hidden="1" customWidth="1"/>
    <col min="12550" max="12800" width="9.140625" style="1"/>
    <col min="12801" max="12801" width="25.5703125" style="1" customWidth="1"/>
    <col min="12802" max="12802" width="24.140625" style="1" customWidth="1"/>
    <col min="12803" max="12803" width="6" style="1" customWidth="1"/>
    <col min="12804" max="12804" width="19.42578125" style="1" customWidth="1"/>
    <col min="12805" max="12805" width="0" style="1" hidden="1" customWidth="1"/>
    <col min="12806" max="13056" width="9.140625" style="1"/>
    <col min="13057" max="13057" width="25.5703125" style="1" customWidth="1"/>
    <col min="13058" max="13058" width="24.140625" style="1" customWidth="1"/>
    <col min="13059" max="13059" width="6" style="1" customWidth="1"/>
    <col min="13060" max="13060" width="19.42578125" style="1" customWidth="1"/>
    <col min="13061" max="13061" width="0" style="1" hidden="1" customWidth="1"/>
    <col min="13062" max="13312" width="9.140625" style="1"/>
    <col min="13313" max="13313" width="25.5703125" style="1" customWidth="1"/>
    <col min="13314" max="13314" width="24.140625" style="1" customWidth="1"/>
    <col min="13315" max="13315" width="6" style="1" customWidth="1"/>
    <col min="13316" max="13316" width="19.42578125" style="1" customWidth="1"/>
    <col min="13317" max="13317" width="0" style="1" hidden="1" customWidth="1"/>
    <col min="13318" max="13568" width="9.140625" style="1"/>
    <col min="13569" max="13569" width="25.5703125" style="1" customWidth="1"/>
    <col min="13570" max="13570" width="24.140625" style="1" customWidth="1"/>
    <col min="13571" max="13571" width="6" style="1" customWidth="1"/>
    <col min="13572" max="13572" width="19.42578125" style="1" customWidth="1"/>
    <col min="13573" max="13573" width="0" style="1" hidden="1" customWidth="1"/>
    <col min="13574" max="13824" width="9.140625" style="1"/>
    <col min="13825" max="13825" width="25.5703125" style="1" customWidth="1"/>
    <col min="13826" max="13826" width="24.140625" style="1" customWidth="1"/>
    <col min="13827" max="13827" width="6" style="1" customWidth="1"/>
    <col min="13828" max="13828" width="19.42578125" style="1" customWidth="1"/>
    <col min="13829" max="13829" width="0" style="1" hidden="1" customWidth="1"/>
    <col min="13830" max="14080" width="9.140625" style="1"/>
    <col min="14081" max="14081" width="25.5703125" style="1" customWidth="1"/>
    <col min="14082" max="14082" width="24.140625" style="1" customWidth="1"/>
    <col min="14083" max="14083" width="6" style="1" customWidth="1"/>
    <col min="14084" max="14084" width="19.42578125" style="1" customWidth="1"/>
    <col min="14085" max="14085" width="0" style="1" hidden="1" customWidth="1"/>
    <col min="14086" max="14336" width="9.140625" style="1"/>
    <col min="14337" max="14337" width="25.5703125" style="1" customWidth="1"/>
    <col min="14338" max="14338" width="24.140625" style="1" customWidth="1"/>
    <col min="14339" max="14339" width="6" style="1" customWidth="1"/>
    <col min="14340" max="14340" width="19.42578125" style="1" customWidth="1"/>
    <col min="14341" max="14341" width="0" style="1" hidden="1" customWidth="1"/>
    <col min="14342" max="14592" width="9.140625" style="1"/>
    <col min="14593" max="14593" width="25.5703125" style="1" customWidth="1"/>
    <col min="14594" max="14594" width="24.140625" style="1" customWidth="1"/>
    <col min="14595" max="14595" width="6" style="1" customWidth="1"/>
    <col min="14596" max="14596" width="19.42578125" style="1" customWidth="1"/>
    <col min="14597" max="14597" width="0" style="1" hidden="1" customWidth="1"/>
    <col min="14598" max="14848" width="9.140625" style="1"/>
    <col min="14849" max="14849" width="25.5703125" style="1" customWidth="1"/>
    <col min="14850" max="14850" width="24.140625" style="1" customWidth="1"/>
    <col min="14851" max="14851" width="6" style="1" customWidth="1"/>
    <col min="14852" max="14852" width="19.42578125" style="1" customWidth="1"/>
    <col min="14853" max="14853" width="0" style="1" hidden="1" customWidth="1"/>
    <col min="14854" max="15104" width="9.140625" style="1"/>
    <col min="15105" max="15105" width="25.5703125" style="1" customWidth="1"/>
    <col min="15106" max="15106" width="24.140625" style="1" customWidth="1"/>
    <col min="15107" max="15107" width="6" style="1" customWidth="1"/>
    <col min="15108" max="15108" width="19.42578125" style="1" customWidth="1"/>
    <col min="15109" max="15109" width="0" style="1" hidden="1" customWidth="1"/>
    <col min="15110" max="15360" width="9.140625" style="1"/>
    <col min="15361" max="15361" width="25.5703125" style="1" customWidth="1"/>
    <col min="15362" max="15362" width="24.140625" style="1" customWidth="1"/>
    <col min="15363" max="15363" width="6" style="1" customWidth="1"/>
    <col min="15364" max="15364" width="19.42578125" style="1" customWidth="1"/>
    <col min="15365" max="15365" width="0" style="1" hidden="1" customWidth="1"/>
    <col min="15366" max="15616" width="9.140625" style="1"/>
    <col min="15617" max="15617" width="25.5703125" style="1" customWidth="1"/>
    <col min="15618" max="15618" width="24.140625" style="1" customWidth="1"/>
    <col min="15619" max="15619" width="6" style="1" customWidth="1"/>
    <col min="15620" max="15620" width="19.42578125" style="1" customWidth="1"/>
    <col min="15621" max="15621" width="0" style="1" hidden="1" customWidth="1"/>
    <col min="15622" max="15872" width="9.140625" style="1"/>
    <col min="15873" max="15873" width="25.5703125" style="1" customWidth="1"/>
    <col min="15874" max="15874" width="24.140625" style="1" customWidth="1"/>
    <col min="15875" max="15875" width="6" style="1" customWidth="1"/>
    <col min="15876" max="15876" width="19.42578125" style="1" customWidth="1"/>
    <col min="15877" max="15877" width="0" style="1" hidden="1" customWidth="1"/>
    <col min="15878" max="16128" width="9.140625" style="1"/>
    <col min="16129" max="16129" width="25.5703125" style="1" customWidth="1"/>
    <col min="16130" max="16130" width="24.140625" style="1" customWidth="1"/>
    <col min="16131" max="16131" width="6" style="1" customWidth="1"/>
    <col min="16132" max="16132" width="19.42578125" style="1" customWidth="1"/>
    <col min="16133" max="16133" width="0" style="1" hidden="1" customWidth="1"/>
    <col min="16134" max="16384" width="9.140625" style="1"/>
  </cols>
  <sheetData>
    <row r="1" spans="1:6" ht="15.75">
      <c r="A1" s="977" t="s">
        <v>437</v>
      </c>
      <c r="B1" s="977"/>
      <c r="C1" s="977"/>
      <c r="D1" s="977"/>
      <c r="E1" s="977"/>
      <c r="F1" s="977"/>
    </row>
    <row r="2" spans="1:6">
      <c r="A2" s="978" t="s">
        <v>73</v>
      </c>
      <c r="B2" s="978"/>
      <c r="C2" s="978"/>
      <c r="D2" s="978"/>
      <c r="E2" s="978"/>
      <c r="F2" s="978"/>
    </row>
    <row r="4" spans="1:6" ht="15.75">
      <c r="A4" s="975" t="s">
        <v>438</v>
      </c>
      <c r="B4" s="975"/>
      <c r="C4" s="975"/>
      <c r="D4" s="975"/>
      <c r="E4" s="975"/>
    </row>
    <row r="5" spans="1:6">
      <c r="A5" s="52"/>
      <c r="B5" s="52"/>
      <c r="C5" s="52"/>
      <c r="D5" s="52"/>
      <c r="E5" s="52"/>
      <c r="F5" s="52"/>
    </row>
    <row r="7" spans="1:6" ht="15.75">
      <c r="A7" s="446" t="s">
        <v>439</v>
      </c>
      <c r="B7" s="974" t="s">
        <v>567</v>
      </c>
      <c r="C7" s="974"/>
      <c r="D7" s="974"/>
      <c r="E7" s="974"/>
      <c r="F7" s="974"/>
    </row>
    <row r="8" spans="1:6" ht="39" customHeight="1">
      <c r="A8" s="2"/>
      <c r="B8" s="974"/>
      <c r="C8" s="974"/>
      <c r="D8" s="974"/>
      <c r="E8" s="974"/>
      <c r="F8" s="974"/>
    </row>
    <row r="9" spans="1:6" ht="15.75">
      <c r="A9" s="446" t="s">
        <v>440</v>
      </c>
      <c r="B9" s="448" t="s">
        <v>441</v>
      </c>
      <c r="D9" s="449">
        <f>D60</f>
        <v>4966500</v>
      </c>
      <c r="F9" s="62"/>
    </row>
    <row r="10" spans="1:6" ht="15.75">
      <c r="A10" s="2"/>
      <c r="B10" s="448" t="s">
        <v>442</v>
      </c>
      <c r="D10" s="450"/>
      <c r="F10" s="451"/>
    </row>
    <row r="11" spans="1:6" ht="15.75">
      <c r="A11" s="446" t="s">
        <v>443</v>
      </c>
    </row>
    <row r="12" spans="1:6" ht="15.75">
      <c r="A12" s="446"/>
    </row>
    <row r="13" spans="1:6" ht="15.75">
      <c r="A13" s="446" t="s">
        <v>444</v>
      </c>
      <c r="B13" s="447" t="s">
        <v>86</v>
      </c>
      <c r="C13" s="447"/>
      <c r="D13" s="447" t="s">
        <v>445</v>
      </c>
    </row>
    <row r="14" spans="1:6" ht="15.75">
      <c r="A14" s="2"/>
      <c r="B14" s="447"/>
      <c r="C14" s="447"/>
      <c r="D14" s="447"/>
    </row>
    <row r="15" spans="1:6" ht="15.75">
      <c r="A15" s="2"/>
      <c r="B15" s="973" t="s">
        <v>446</v>
      </c>
      <c r="C15" s="973"/>
      <c r="D15" s="973"/>
    </row>
    <row r="16" spans="1:6" ht="15.75">
      <c r="A16" s="2"/>
      <c r="B16" s="973" t="s">
        <v>447</v>
      </c>
      <c r="C16" s="973"/>
      <c r="D16" s="973"/>
    </row>
    <row r="17" spans="1:6" ht="15.75">
      <c r="A17" s="2"/>
      <c r="B17" s="973" t="s">
        <v>448</v>
      </c>
      <c r="C17" s="973"/>
      <c r="D17" s="973"/>
    </row>
    <row r="18" spans="1:6" ht="15.75">
      <c r="A18" s="452"/>
      <c r="B18" s="453"/>
      <c r="C18" s="453"/>
      <c r="D18" s="453"/>
      <c r="E18" s="52"/>
      <c r="F18" s="453"/>
    </row>
    <row r="19" spans="1:6" ht="15.75">
      <c r="A19" s="446" t="s">
        <v>449</v>
      </c>
      <c r="B19" s="447" t="s">
        <v>450</v>
      </c>
      <c r="C19" s="447"/>
      <c r="E19" s="2"/>
    </row>
    <row r="20" spans="1:6" ht="15.75">
      <c r="A20" s="446"/>
      <c r="B20" s="447"/>
      <c r="C20" s="447"/>
      <c r="E20" s="2"/>
    </row>
    <row r="21" spans="1:6" ht="16.5">
      <c r="A21" s="446"/>
      <c r="B21" s="447"/>
      <c r="C21" s="447"/>
      <c r="D21" s="454" t="s">
        <v>451</v>
      </c>
    </row>
    <row r="22" spans="1:6" ht="16.5">
      <c r="A22" s="446"/>
      <c r="B22" s="447" t="s">
        <v>452</v>
      </c>
      <c r="C22" s="447"/>
      <c r="D22" s="454" t="s">
        <v>453</v>
      </c>
    </row>
    <row r="23" spans="1:6" ht="16.5">
      <c r="A23" s="446"/>
      <c r="B23" s="447"/>
      <c r="C23" s="447"/>
      <c r="D23" s="454"/>
    </row>
    <row r="24" spans="1:6" ht="15.75">
      <c r="A24" s="446"/>
      <c r="B24" s="447"/>
      <c r="C24" s="447"/>
      <c r="D24" s="447"/>
    </row>
    <row r="25" spans="1:6" ht="16.5">
      <c r="A25" s="446" t="s">
        <v>454</v>
      </c>
      <c r="B25" s="447" t="s">
        <v>450</v>
      </c>
      <c r="C25" s="447"/>
      <c r="D25" s="454" t="s">
        <v>455</v>
      </c>
    </row>
    <row r="26" spans="1:6" ht="16.5">
      <c r="A26" s="447"/>
      <c r="B26" s="447"/>
      <c r="C26" s="447"/>
      <c r="D26" s="454" t="s">
        <v>456</v>
      </c>
    </row>
    <row r="27" spans="1:6">
      <c r="A27" s="447"/>
      <c r="B27" s="447" t="s">
        <v>452</v>
      </c>
      <c r="C27" s="447"/>
      <c r="D27" s="447"/>
    </row>
    <row r="28" spans="1:6">
      <c r="A28" s="447"/>
      <c r="C28" s="447"/>
      <c r="D28" s="447"/>
    </row>
    <row r="29" spans="1:6" ht="16.5">
      <c r="A29" s="447"/>
      <c r="B29" s="447" t="s">
        <v>457</v>
      </c>
      <c r="C29" s="447"/>
      <c r="D29" s="454" t="s">
        <v>458</v>
      </c>
    </row>
    <row r="30" spans="1:6" ht="16.5">
      <c r="A30" s="447"/>
      <c r="B30" s="447"/>
      <c r="C30" s="447"/>
      <c r="D30" s="454" t="s">
        <v>459</v>
      </c>
    </row>
    <row r="31" spans="1:6">
      <c r="A31" s="447"/>
      <c r="B31" s="447"/>
      <c r="C31" s="447"/>
      <c r="D31" s="447"/>
    </row>
    <row r="32" spans="1:6">
      <c r="A32" s="447"/>
      <c r="C32" s="447"/>
      <c r="D32" s="447"/>
    </row>
    <row r="33" spans="1:6" ht="16.5">
      <c r="A33" s="447"/>
      <c r="B33" s="447" t="s">
        <v>460</v>
      </c>
      <c r="C33" s="447"/>
      <c r="D33" s="454" t="s">
        <v>461</v>
      </c>
    </row>
    <row r="34" spans="1:6" ht="16.5">
      <c r="D34" s="454" t="s">
        <v>462</v>
      </c>
    </row>
    <row r="35" spans="1:6" ht="16.5">
      <c r="D35" s="454"/>
    </row>
    <row r="37" spans="1:6" ht="16.5">
      <c r="B37" s="447" t="s">
        <v>463</v>
      </c>
      <c r="D37" s="454" t="s">
        <v>464</v>
      </c>
    </row>
    <row r="38" spans="1:6" ht="16.5">
      <c r="D38" s="454" t="s">
        <v>465</v>
      </c>
    </row>
    <row r="40" spans="1:6">
      <c r="B40" s="447" t="s">
        <v>99</v>
      </c>
    </row>
    <row r="41" spans="1:6">
      <c r="B41" s="447"/>
    </row>
    <row r="42" spans="1:6">
      <c r="B42" s="447"/>
    </row>
    <row r="43" spans="1:6">
      <c r="B43" s="447"/>
    </row>
    <row r="44" spans="1:6">
      <c r="B44" s="447"/>
    </row>
    <row r="45" spans="1:6" ht="15.75">
      <c r="A45" s="2" t="s">
        <v>439</v>
      </c>
      <c r="B45" s="974" t="s">
        <v>567</v>
      </c>
      <c r="C45" s="974"/>
      <c r="D45" s="974"/>
      <c r="E45" s="974"/>
      <c r="F45" s="974"/>
    </row>
    <row r="46" spans="1:6" ht="45" customHeight="1">
      <c r="A46" s="2"/>
      <c r="B46" s="974"/>
      <c r="C46" s="974"/>
      <c r="D46" s="974"/>
      <c r="E46" s="974"/>
      <c r="F46" s="974"/>
    </row>
    <row r="48" spans="1:6" ht="15.75">
      <c r="A48" s="975" t="s">
        <v>466</v>
      </c>
      <c r="B48" s="975"/>
      <c r="C48" s="975"/>
      <c r="D48" s="975"/>
    </row>
    <row r="50" spans="1:6">
      <c r="A50" s="976" t="s">
        <v>571</v>
      </c>
      <c r="B50" s="976"/>
      <c r="C50" s="455" t="s">
        <v>467</v>
      </c>
      <c r="D50" s="456">
        <f>'Class IV '!K362</f>
        <v>3958590.899999999</v>
      </c>
    </row>
    <row r="51" spans="1:6" ht="15.75">
      <c r="A51" s="457"/>
      <c r="B51" s="451"/>
      <c r="C51" s="458"/>
      <c r="D51" s="459">
        <f>SUM(D50:D50)</f>
        <v>3958590.899999999</v>
      </c>
    </row>
    <row r="52" spans="1:6" ht="15.75">
      <c r="A52" s="451" t="s">
        <v>468</v>
      </c>
      <c r="B52" s="457"/>
      <c r="C52" s="455" t="s">
        <v>467</v>
      </c>
      <c r="D52" s="456">
        <f>QC!F14</f>
        <v>17790</v>
      </c>
    </row>
    <row r="53" spans="1:6" ht="15.75">
      <c r="A53" s="457"/>
      <c r="B53" s="451"/>
      <c r="C53" s="458"/>
      <c r="D53" s="459">
        <f>SUM(D51:D52)</f>
        <v>3976380.899999999</v>
      </c>
    </row>
    <row r="54" spans="1:6" ht="15.75">
      <c r="A54" s="457" t="s">
        <v>469</v>
      </c>
      <c r="B54" s="451"/>
      <c r="C54" s="458"/>
      <c r="D54" s="456">
        <f>D53*5%</f>
        <v>198819.04499999995</v>
      </c>
    </row>
    <row r="55" spans="1:6" ht="15.75">
      <c r="A55" s="457"/>
      <c r="B55" s="451"/>
      <c r="C55" s="458"/>
      <c r="D55" s="459">
        <f>SUM(D53:D54)</f>
        <v>4175199.9449999989</v>
      </c>
    </row>
    <row r="56" spans="1:6" ht="15.75">
      <c r="A56" s="976" t="s">
        <v>470</v>
      </c>
      <c r="B56" s="976"/>
      <c r="C56" s="458"/>
      <c r="D56" s="456">
        <f>D55*18%</f>
        <v>751535.99009999982</v>
      </c>
    </row>
    <row r="57" spans="1:6" ht="15.75">
      <c r="A57" s="457" t="s">
        <v>471</v>
      </c>
      <c r="B57" s="451"/>
      <c r="C57" s="458"/>
      <c r="D57" s="456">
        <f>D53*1%</f>
        <v>39763.808999999994</v>
      </c>
    </row>
    <row r="58" spans="1:6" ht="15.75">
      <c r="A58" s="457"/>
      <c r="B58" s="451"/>
      <c r="C58" s="458"/>
      <c r="D58" s="460">
        <f>SUM(D55:D57)</f>
        <v>4966499.7440999988</v>
      </c>
    </row>
    <row r="59" spans="1:6" ht="15.75">
      <c r="B59" s="62" t="s">
        <v>44</v>
      </c>
      <c r="C59" s="62"/>
      <c r="D59" s="449">
        <f>D58</f>
        <v>4966499.7440999988</v>
      </c>
    </row>
    <row r="60" spans="1:6" ht="15.75">
      <c r="A60" s="91"/>
      <c r="B60" s="62" t="s">
        <v>472</v>
      </c>
      <c r="C60" s="458" t="s">
        <v>82</v>
      </c>
      <c r="D60" s="460">
        <f>ROUNDUP(D59,0)</f>
        <v>4966500</v>
      </c>
      <c r="E60" s="91"/>
      <c r="F60" s="461" t="s">
        <v>473</v>
      </c>
    </row>
    <row r="61" spans="1:6">
      <c r="A61" s="455"/>
      <c r="B61" s="9"/>
      <c r="C61" s="455"/>
      <c r="D61" s="456"/>
    </row>
    <row r="62" spans="1:6">
      <c r="A62" s="455"/>
      <c r="B62" s="9"/>
      <c r="C62" s="455"/>
      <c r="D62" s="456"/>
    </row>
    <row r="66" spans="3:3">
      <c r="C66" s="462" t="s">
        <v>474</v>
      </c>
    </row>
    <row r="67" spans="3:3">
      <c r="C67" s="463" t="s">
        <v>475</v>
      </c>
    </row>
    <row r="68" spans="3:3" ht="15.75">
      <c r="C68" s="464"/>
    </row>
  </sheetData>
  <mergeCells count="11">
    <mergeCell ref="B16:D16"/>
    <mergeCell ref="A1:F1"/>
    <mergeCell ref="A2:F2"/>
    <mergeCell ref="A4:E4"/>
    <mergeCell ref="B7:F8"/>
    <mergeCell ref="B15:D15"/>
    <mergeCell ref="B17:D17"/>
    <mergeCell ref="B45:F46"/>
    <mergeCell ref="A48:D48"/>
    <mergeCell ref="A50:B50"/>
    <mergeCell ref="A56:B56"/>
  </mergeCells>
  <pageMargins left="0.7" right="0.7" top="0.75" bottom="0.75" header="0.3" footer="0.3"/>
  <pageSetup orientation="portrait" verticalDpi="300" r:id="rId1"/>
</worksheet>
</file>

<file path=xl/worksheets/sheet7.xml><?xml version="1.0" encoding="utf-8"?>
<worksheet xmlns="http://schemas.openxmlformats.org/spreadsheetml/2006/main" xmlns:r="http://schemas.openxmlformats.org/officeDocument/2006/relationships">
  <dimension ref="A1:M21"/>
  <sheetViews>
    <sheetView view="pageBreakPreview" zoomScaleSheetLayoutView="100" workbookViewId="0">
      <selection activeCell="L8" sqref="L8"/>
    </sheetView>
  </sheetViews>
  <sheetFormatPr defaultColWidth="9.140625" defaultRowHeight="12.75"/>
  <cols>
    <col min="1" max="1" width="4.85546875" style="486" customWidth="1"/>
    <col min="2" max="2" width="40.28515625" customWidth="1"/>
    <col min="3" max="3" width="18.140625" customWidth="1"/>
    <col min="4" max="4" width="8.28515625" customWidth="1"/>
    <col min="5" max="5" width="8.5703125" customWidth="1"/>
    <col min="6" max="6" width="11" customWidth="1"/>
    <col min="11" max="11" width="13.7109375" bestFit="1" customWidth="1"/>
    <col min="251" max="251" width="4" customWidth="1"/>
    <col min="252" max="252" width="11.85546875" customWidth="1"/>
    <col min="253" max="253" width="55.7109375" customWidth="1"/>
    <col min="254" max="254" width="3.28515625" customWidth="1"/>
    <col min="255" max="255" width="4" bestFit="1" customWidth="1"/>
    <col min="256" max="256" width="7.42578125" bestFit="1" customWidth="1"/>
    <col min="257" max="257" width="7.85546875" bestFit="1" customWidth="1"/>
    <col min="258" max="258" width="9" bestFit="1" customWidth="1"/>
    <col min="259" max="259" width="7.42578125" bestFit="1" customWidth="1"/>
    <col min="260" max="260" width="4.7109375" bestFit="1" customWidth="1"/>
    <col min="262" max="262" width="14.28515625" customWidth="1"/>
    <col min="507" max="507" width="4" customWidth="1"/>
    <col min="508" max="508" width="11.85546875" customWidth="1"/>
    <col min="509" max="509" width="55.7109375" customWidth="1"/>
    <col min="510" max="510" width="3.28515625" customWidth="1"/>
    <col min="511" max="511" width="4" bestFit="1" customWidth="1"/>
    <col min="512" max="512" width="7.42578125" bestFit="1" customWidth="1"/>
    <col min="513" max="513" width="7.85546875" bestFit="1" customWidth="1"/>
    <col min="514" max="514" width="9" bestFit="1" customWidth="1"/>
    <col min="515" max="515" width="7.42578125" bestFit="1" customWidth="1"/>
    <col min="516" max="516" width="4.7109375" bestFit="1" customWidth="1"/>
    <col min="518" max="518" width="14.28515625" customWidth="1"/>
    <col min="763" max="763" width="4" customWidth="1"/>
    <col min="764" max="764" width="11.85546875" customWidth="1"/>
    <col min="765" max="765" width="55.7109375" customWidth="1"/>
    <col min="766" max="766" width="3.28515625" customWidth="1"/>
    <col min="767" max="767" width="4" bestFit="1" customWidth="1"/>
    <col min="768" max="768" width="7.42578125" bestFit="1" customWidth="1"/>
    <col min="769" max="769" width="7.85546875" bestFit="1" customWidth="1"/>
    <col min="770" max="770" width="9" bestFit="1" customWidth="1"/>
    <col min="771" max="771" width="7.42578125" bestFit="1" customWidth="1"/>
    <col min="772" max="772" width="4.7109375" bestFit="1" customWidth="1"/>
    <col min="774" max="774" width="14.28515625" customWidth="1"/>
    <col min="1019" max="1019" width="4" customWidth="1"/>
    <col min="1020" max="1020" width="11.85546875" customWidth="1"/>
    <col min="1021" max="1021" width="55.7109375" customWidth="1"/>
    <col min="1022" max="1022" width="3.28515625" customWidth="1"/>
    <col min="1023" max="1023" width="4" bestFit="1" customWidth="1"/>
    <col min="1024" max="1024" width="7.42578125" bestFit="1" customWidth="1"/>
    <col min="1025" max="1025" width="7.85546875" bestFit="1" customWidth="1"/>
    <col min="1026" max="1026" width="9" bestFit="1" customWidth="1"/>
    <col min="1027" max="1027" width="7.42578125" bestFit="1" customWidth="1"/>
    <col min="1028" max="1028" width="4.7109375" bestFit="1" customWidth="1"/>
    <col min="1030" max="1030" width="14.28515625" customWidth="1"/>
    <col min="1275" max="1275" width="4" customWidth="1"/>
    <col min="1276" max="1276" width="11.85546875" customWidth="1"/>
    <col min="1277" max="1277" width="55.7109375" customWidth="1"/>
    <col min="1278" max="1278" width="3.28515625" customWidth="1"/>
    <col min="1279" max="1279" width="4" bestFit="1" customWidth="1"/>
    <col min="1280" max="1280" width="7.42578125" bestFit="1" customWidth="1"/>
    <col min="1281" max="1281" width="7.85546875" bestFit="1" customWidth="1"/>
    <col min="1282" max="1282" width="9" bestFit="1" customWidth="1"/>
    <col min="1283" max="1283" width="7.42578125" bestFit="1" customWidth="1"/>
    <col min="1284" max="1284" width="4.7109375" bestFit="1" customWidth="1"/>
    <col min="1286" max="1286" width="14.28515625" customWidth="1"/>
    <col min="1531" max="1531" width="4" customWidth="1"/>
    <col min="1532" max="1532" width="11.85546875" customWidth="1"/>
    <col min="1533" max="1533" width="55.7109375" customWidth="1"/>
    <col min="1534" max="1534" width="3.28515625" customWidth="1"/>
    <col min="1535" max="1535" width="4" bestFit="1" customWidth="1"/>
    <col min="1536" max="1536" width="7.42578125" bestFit="1" customWidth="1"/>
    <col min="1537" max="1537" width="7.85546875" bestFit="1" customWidth="1"/>
    <col min="1538" max="1538" width="9" bestFit="1" customWidth="1"/>
    <col min="1539" max="1539" width="7.42578125" bestFit="1" customWidth="1"/>
    <col min="1540" max="1540" width="4.7109375" bestFit="1" customWidth="1"/>
    <col min="1542" max="1542" width="14.28515625" customWidth="1"/>
    <col min="1787" max="1787" width="4" customWidth="1"/>
    <col min="1788" max="1788" width="11.85546875" customWidth="1"/>
    <col min="1789" max="1789" width="55.7109375" customWidth="1"/>
    <col min="1790" max="1790" width="3.28515625" customWidth="1"/>
    <col min="1791" max="1791" width="4" bestFit="1" customWidth="1"/>
    <col min="1792" max="1792" width="7.42578125" bestFit="1" customWidth="1"/>
    <col min="1793" max="1793" width="7.85546875" bestFit="1" customWidth="1"/>
    <col min="1794" max="1794" width="9" bestFit="1" customWidth="1"/>
    <col min="1795" max="1795" width="7.42578125" bestFit="1" customWidth="1"/>
    <col min="1796" max="1796" width="4.7109375" bestFit="1" customWidth="1"/>
    <col min="1798" max="1798" width="14.28515625" customWidth="1"/>
    <col min="2043" max="2043" width="4" customWidth="1"/>
    <col min="2044" max="2044" width="11.85546875" customWidth="1"/>
    <col min="2045" max="2045" width="55.7109375" customWidth="1"/>
    <col min="2046" max="2046" width="3.28515625" customWidth="1"/>
    <col min="2047" max="2047" width="4" bestFit="1" customWidth="1"/>
    <col min="2048" max="2048" width="7.42578125" bestFit="1" customWidth="1"/>
    <col min="2049" max="2049" width="7.85546875" bestFit="1" customWidth="1"/>
    <col min="2050" max="2050" width="9" bestFit="1" customWidth="1"/>
    <col min="2051" max="2051" width="7.42578125" bestFit="1" customWidth="1"/>
    <col min="2052" max="2052" width="4.7109375" bestFit="1" customWidth="1"/>
    <col min="2054" max="2054" width="14.28515625" customWidth="1"/>
    <col min="2299" max="2299" width="4" customWidth="1"/>
    <col min="2300" max="2300" width="11.85546875" customWidth="1"/>
    <col min="2301" max="2301" width="55.7109375" customWidth="1"/>
    <col min="2302" max="2302" width="3.28515625" customWidth="1"/>
    <col min="2303" max="2303" width="4" bestFit="1" customWidth="1"/>
    <col min="2304" max="2304" width="7.42578125" bestFit="1" customWidth="1"/>
    <col min="2305" max="2305" width="7.85546875" bestFit="1" customWidth="1"/>
    <col min="2306" max="2306" width="9" bestFit="1" customWidth="1"/>
    <col min="2307" max="2307" width="7.42578125" bestFit="1" customWidth="1"/>
    <col min="2308" max="2308" width="4.7109375" bestFit="1" customWidth="1"/>
    <col min="2310" max="2310" width="14.28515625" customWidth="1"/>
    <col min="2555" max="2555" width="4" customWidth="1"/>
    <col min="2556" max="2556" width="11.85546875" customWidth="1"/>
    <col min="2557" max="2557" width="55.7109375" customWidth="1"/>
    <col min="2558" max="2558" width="3.28515625" customWidth="1"/>
    <col min="2559" max="2559" width="4" bestFit="1" customWidth="1"/>
    <col min="2560" max="2560" width="7.42578125" bestFit="1" customWidth="1"/>
    <col min="2561" max="2561" width="7.85546875" bestFit="1" customWidth="1"/>
    <col min="2562" max="2562" width="9" bestFit="1" customWidth="1"/>
    <col min="2563" max="2563" width="7.42578125" bestFit="1" customWidth="1"/>
    <col min="2564" max="2564" width="4.7109375" bestFit="1" customWidth="1"/>
    <col min="2566" max="2566" width="14.28515625" customWidth="1"/>
    <col min="2811" max="2811" width="4" customWidth="1"/>
    <col min="2812" max="2812" width="11.85546875" customWidth="1"/>
    <col min="2813" max="2813" width="55.7109375" customWidth="1"/>
    <col min="2814" max="2814" width="3.28515625" customWidth="1"/>
    <col min="2815" max="2815" width="4" bestFit="1" customWidth="1"/>
    <col min="2816" max="2816" width="7.42578125" bestFit="1" customWidth="1"/>
    <col min="2817" max="2817" width="7.85546875" bestFit="1" customWidth="1"/>
    <col min="2818" max="2818" width="9" bestFit="1" customWidth="1"/>
    <col min="2819" max="2819" width="7.42578125" bestFit="1" customWidth="1"/>
    <col min="2820" max="2820" width="4.7109375" bestFit="1" customWidth="1"/>
    <col min="2822" max="2822" width="14.28515625" customWidth="1"/>
    <col min="3067" max="3067" width="4" customWidth="1"/>
    <col min="3068" max="3068" width="11.85546875" customWidth="1"/>
    <col min="3069" max="3069" width="55.7109375" customWidth="1"/>
    <col min="3070" max="3070" width="3.28515625" customWidth="1"/>
    <col min="3071" max="3071" width="4" bestFit="1" customWidth="1"/>
    <col min="3072" max="3072" width="7.42578125" bestFit="1" customWidth="1"/>
    <col min="3073" max="3073" width="7.85546875" bestFit="1" customWidth="1"/>
    <col min="3074" max="3074" width="9" bestFit="1" customWidth="1"/>
    <col min="3075" max="3075" width="7.42578125" bestFit="1" customWidth="1"/>
    <col min="3076" max="3076" width="4.7109375" bestFit="1" customWidth="1"/>
    <col min="3078" max="3078" width="14.28515625" customWidth="1"/>
    <col min="3323" max="3323" width="4" customWidth="1"/>
    <col min="3324" max="3324" width="11.85546875" customWidth="1"/>
    <col min="3325" max="3325" width="55.7109375" customWidth="1"/>
    <col min="3326" max="3326" width="3.28515625" customWidth="1"/>
    <col min="3327" max="3327" width="4" bestFit="1" customWidth="1"/>
    <col min="3328" max="3328" width="7.42578125" bestFit="1" customWidth="1"/>
    <col min="3329" max="3329" width="7.85546875" bestFit="1" customWidth="1"/>
    <col min="3330" max="3330" width="9" bestFit="1" customWidth="1"/>
    <col min="3331" max="3331" width="7.42578125" bestFit="1" customWidth="1"/>
    <col min="3332" max="3332" width="4.7109375" bestFit="1" customWidth="1"/>
    <col min="3334" max="3334" width="14.28515625" customWidth="1"/>
    <col min="3579" max="3579" width="4" customWidth="1"/>
    <col min="3580" max="3580" width="11.85546875" customWidth="1"/>
    <col min="3581" max="3581" width="55.7109375" customWidth="1"/>
    <col min="3582" max="3582" width="3.28515625" customWidth="1"/>
    <col min="3583" max="3583" width="4" bestFit="1" customWidth="1"/>
    <col min="3584" max="3584" width="7.42578125" bestFit="1" customWidth="1"/>
    <col min="3585" max="3585" width="7.85546875" bestFit="1" customWidth="1"/>
    <col min="3586" max="3586" width="9" bestFit="1" customWidth="1"/>
    <col min="3587" max="3587" width="7.42578125" bestFit="1" customWidth="1"/>
    <col min="3588" max="3588" width="4.7109375" bestFit="1" customWidth="1"/>
    <col min="3590" max="3590" width="14.28515625" customWidth="1"/>
    <col min="3835" max="3835" width="4" customWidth="1"/>
    <col min="3836" max="3836" width="11.85546875" customWidth="1"/>
    <col min="3837" max="3837" width="55.7109375" customWidth="1"/>
    <col min="3838" max="3838" width="3.28515625" customWidth="1"/>
    <col min="3839" max="3839" width="4" bestFit="1" customWidth="1"/>
    <col min="3840" max="3840" width="7.42578125" bestFit="1" customWidth="1"/>
    <col min="3841" max="3841" width="7.85546875" bestFit="1" customWidth="1"/>
    <col min="3842" max="3842" width="9" bestFit="1" customWidth="1"/>
    <col min="3843" max="3843" width="7.42578125" bestFit="1" customWidth="1"/>
    <col min="3844" max="3844" width="4.7109375" bestFit="1" customWidth="1"/>
    <col min="3846" max="3846" width="14.28515625" customWidth="1"/>
    <col min="4091" max="4091" width="4" customWidth="1"/>
    <col min="4092" max="4092" width="11.85546875" customWidth="1"/>
    <col min="4093" max="4093" width="55.7109375" customWidth="1"/>
    <col min="4094" max="4094" width="3.28515625" customWidth="1"/>
    <col min="4095" max="4095" width="4" bestFit="1" customWidth="1"/>
    <col min="4096" max="4096" width="7.42578125" bestFit="1" customWidth="1"/>
    <col min="4097" max="4097" width="7.85546875" bestFit="1" customWidth="1"/>
    <col min="4098" max="4098" width="9" bestFit="1" customWidth="1"/>
    <col min="4099" max="4099" width="7.42578125" bestFit="1" customWidth="1"/>
    <col min="4100" max="4100" width="4.7109375" bestFit="1" customWidth="1"/>
    <col min="4102" max="4102" width="14.28515625" customWidth="1"/>
    <col min="4347" max="4347" width="4" customWidth="1"/>
    <col min="4348" max="4348" width="11.85546875" customWidth="1"/>
    <col min="4349" max="4349" width="55.7109375" customWidth="1"/>
    <col min="4350" max="4350" width="3.28515625" customWidth="1"/>
    <col min="4351" max="4351" width="4" bestFit="1" customWidth="1"/>
    <col min="4352" max="4352" width="7.42578125" bestFit="1" customWidth="1"/>
    <col min="4353" max="4353" width="7.85546875" bestFit="1" customWidth="1"/>
    <col min="4354" max="4354" width="9" bestFit="1" customWidth="1"/>
    <col min="4355" max="4355" width="7.42578125" bestFit="1" customWidth="1"/>
    <col min="4356" max="4356" width="4.7109375" bestFit="1" customWidth="1"/>
    <col min="4358" max="4358" width="14.28515625" customWidth="1"/>
    <col min="4603" max="4603" width="4" customWidth="1"/>
    <col min="4604" max="4604" width="11.85546875" customWidth="1"/>
    <col min="4605" max="4605" width="55.7109375" customWidth="1"/>
    <col min="4606" max="4606" width="3.28515625" customWidth="1"/>
    <col min="4607" max="4607" width="4" bestFit="1" customWidth="1"/>
    <col min="4608" max="4608" width="7.42578125" bestFit="1" customWidth="1"/>
    <col min="4609" max="4609" width="7.85546875" bestFit="1" customWidth="1"/>
    <col min="4610" max="4610" width="9" bestFit="1" customWidth="1"/>
    <col min="4611" max="4611" width="7.42578125" bestFit="1" customWidth="1"/>
    <col min="4612" max="4612" width="4.7109375" bestFit="1" customWidth="1"/>
    <col min="4614" max="4614" width="14.28515625" customWidth="1"/>
    <col min="4859" max="4859" width="4" customWidth="1"/>
    <col min="4860" max="4860" width="11.85546875" customWidth="1"/>
    <col min="4861" max="4861" width="55.7109375" customWidth="1"/>
    <col min="4862" max="4862" width="3.28515625" customWidth="1"/>
    <col min="4863" max="4863" width="4" bestFit="1" customWidth="1"/>
    <col min="4864" max="4864" width="7.42578125" bestFit="1" customWidth="1"/>
    <col min="4865" max="4865" width="7.85546875" bestFit="1" customWidth="1"/>
    <col min="4866" max="4866" width="9" bestFit="1" customWidth="1"/>
    <col min="4867" max="4867" width="7.42578125" bestFit="1" customWidth="1"/>
    <col min="4868" max="4868" width="4.7109375" bestFit="1" customWidth="1"/>
    <col min="4870" max="4870" width="14.28515625" customWidth="1"/>
    <col min="5115" max="5115" width="4" customWidth="1"/>
    <col min="5116" max="5116" width="11.85546875" customWidth="1"/>
    <col min="5117" max="5117" width="55.7109375" customWidth="1"/>
    <col min="5118" max="5118" width="3.28515625" customWidth="1"/>
    <col min="5119" max="5119" width="4" bestFit="1" customWidth="1"/>
    <col min="5120" max="5120" width="7.42578125" bestFit="1" customWidth="1"/>
    <col min="5121" max="5121" width="7.85546875" bestFit="1" customWidth="1"/>
    <col min="5122" max="5122" width="9" bestFit="1" customWidth="1"/>
    <col min="5123" max="5123" width="7.42578125" bestFit="1" customWidth="1"/>
    <col min="5124" max="5124" width="4.7109375" bestFit="1" customWidth="1"/>
    <col min="5126" max="5126" width="14.28515625" customWidth="1"/>
    <col min="5371" max="5371" width="4" customWidth="1"/>
    <col min="5372" max="5372" width="11.85546875" customWidth="1"/>
    <col min="5373" max="5373" width="55.7109375" customWidth="1"/>
    <col min="5374" max="5374" width="3.28515625" customWidth="1"/>
    <col min="5375" max="5375" width="4" bestFit="1" customWidth="1"/>
    <col min="5376" max="5376" width="7.42578125" bestFit="1" customWidth="1"/>
    <col min="5377" max="5377" width="7.85546875" bestFit="1" customWidth="1"/>
    <col min="5378" max="5378" width="9" bestFit="1" customWidth="1"/>
    <col min="5379" max="5379" width="7.42578125" bestFit="1" customWidth="1"/>
    <col min="5380" max="5380" width="4.7109375" bestFit="1" customWidth="1"/>
    <col min="5382" max="5382" width="14.28515625" customWidth="1"/>
    <col min="5627" max="5627" width="4" customWidth="1"/>
    <col min="5628" max="5628" width="11.85546875" customWidth="1"/>
    <col min="5629" max="5629" width="55.7109375" customWidth="1"/>
    <col min="5630" max="5630" width="3.28515625" customWidth="1"/>
    <col min="5631" max="5631" width="4" bestFit="1" customWidth="1"/>
    <col min="5632" max="5632" width="7.42578125" bestFit="1" customWidth="1"/>
    <col min="5633" max="5633" width="7.85546875" bestFit="1" customWidth="1"/>
    <col min="5634" max="5634" width="9" bestFit="1" customWidth="1"/>
    <col min="5635" max="5635" width="7.42578125" bestFit="1" customWidth="1"/>
    <col min="5636" max="5636" width="4.7109375" bestFit="1" customWidth="1"/>
    <col min="5638" max="5638" width="14.28515625" customWidth="1"/>
    <col min="5883" max="5883" width="4" customWidth="1"/>
    <col min="5884" max="5884" width="11.85546875" customWidth="1"/>
    <col min="5885" max="5885" width="55.7109375" customWidth="1"/>
    <col min="5886" max="5886" width="3.28515625" customWidth="1"/>
    <col min="5887" max="5887" width="4" bestFit="1" customWidth="1"/>
    <col min="5888" max="5888" width="7.42578125" bestFit="1" customWidth="1"/>
    <col min="5889" max="5889" width="7.85546875" bestFit="1" customWidth="1"/>
    <col min="5890" max="5890" width="9" bestFit="1" customWidth="1"/>
    <col min="5891" max="5891" width="7.42578125" bestFit="1" customWidth="1"/>
    <col min="5892" max="5892" width="4.7109375" bestFit="1" customWidth="1"/>
    <col min="5894" max="5894" width="14.28515625" customWidth="1"/>
    <col min="6139" max="6139" width="4" customWidth="1"/>
    <col min="6140" max="6140" width="11.85546875" customWidth="1"/>
    <col min="6141" max="6141" width="55.7109375" customWidth="1"/>
    <col min="6142" max="6142" width="3.28515625" customWidth="1"/>
    <col min="6143" max="6143" width="4" bestFit="1" customWidth="1"/>
    <col min="6144" max="6144" width="7.42578125" bestFit="1" customWidth="1"/>
    <col min="6145" max="6145" width="7.85546875" bestFit="1" customWidth="1"/>
    <col min="6146" max="6146" width="9" bestFit="1" customWidth="1"/>
    <col min="6147" max="6147" width="7.42578125" bestFit="1" customWidth="1"/>
    <col min="6148" max="6148" width="4.7109375" bestFit="1" customWidth="1"/>
    <col min="6150" max="6150" width="14.28515625" customWidth="1"/>
    <col min="6395" max="6395" width="4" customWidth="1"/>
    <col min="6396" max="6396" width="11.85546875" customWidth="1"/>
    <col min="6397" max="6397" width="55.7109375" customWidth="1"/>
    <col min="6398" max="6398" width="3.28515625" customWidth="1"/>
    <col min="6399" max="6399" width="4" bestFit="1" customWidth="1"/>
    <col min="6400" max="6400" width="7.42578125" bestFit="1" customWidth="1"/>
    <col min="6401" max="6401" width="7.85546875" bestFit="1" customWidth="1"/>
    <col min="6402" max="6402" width="9" bestFit="1" customWidth="1"/>
    <col min="6403" max="6403" width="7.42578125" bestFit="1" customWidth="1"/>
    <col min="6404" max="6404" width="4.7109375" bestFit="1" customWidth="1"/>
    <col min="6406" max="6406" width="14.28515625" customWidth="1"/>
    <col min="6651" max="6651" width="4" customWidth="1"/>
    <col min="6652" max="6652" width="11.85546875" customWidth="1"/>
    <col min="6653" max="6653" width="55.7109375" customWidth="1"/>
    <col min="6654" max="6654" width="3.28515625" customWidth="1"/>
    <col min="6655" max="6655" width="4" bestFit="1" customWidth="1"/>
    <col min="6656" max="6656" width="7.42578125" bestFit="1" customWidth="1"/>
    <col min="6657" max="6657" width="7.85546875" bestFit="1" customWidth="1"/>
    <col min="6658" max="6658" width="9" bestFit="1" customWidth="1"/>
    <col min="6659" max="6659" width="7.42578125" bestFit="1" customWidth="1"/>
    <col min="6660" max="6660" width="4.7109375" bestFit="1" customWidth="1"/>
    <col min="6662" max="6662" width="14.28515625" customWidth="1"/>
    <col min="6907" max="6907" width="4" customWidth="1"/>
    <col min="6908" max="6908" width="11.85546875" customWidth="1"/>
    <col min="6909" max="6909" width="55.7109375" customWidth="1"/>
    <col min="6910" max="6910" width="3.28515625" customWidth="1"/>
    <col min="6911" max="6911" width="4" bestFit="1" customWidth="1"/>
    <col min="6912" max="6912" width="7.42578125" bestFit="1" customWidth="1"/>
    <col min="6913" max="6913" width="7.85546875" bestFit="1" customWidth="1"/>
    <col min="6914" max="6914" width="9" bestFit="1" customWidth="1"/>
    <col min="6915" max="6915" width="7.42578125" bestFit="1" customWidth="1"/>
    <col min="6916" max="6916" width="4.7109375" bestFit="1" customWidth="1"/>
    <col min="6918" max="6918" width="14.28515625" customWidth="1"/>
    <col min="7163" max="7163" width="4" customWidth="1"/>
    <col min="7164" max="7164" width="11.85546875" customWidth="1"/>
    <col min="7165" max="7165" width="55.7109375" customWidth="1"/>
    <col min="7166" max="7166" width="3.28515625" customWidth="1"/>
    <col min="7167" max="7167" width="4" bestFit="1" customWidth="1"/>
    <col min="7168" max="7168" width="7.42578125" bestFit="1" customWidth="1"/>
    <col min="7169" max="7169" width="7.85546875" bestFit="1" customWidth="1"/>
    <col min="7170" max="7170" width="9" bestFit="1" customWidth="1"/>
    <col min="7171" max="7171" width="7.42578125" bestFit="1" customWidth="1"/>
    <col min="7172" max="7172" width="4.7109375" bestFit="1" customWidth="1"/>
    <col min="7174" max="7174" width="14.28515625" customWidth="1"/>
    <col min="7419" max="7419" width="4" customWidth="1"/>
    <col min="7420" max="7420" width="11.85546875" customWidth="1"/>
    <col min="7421" max="7421" width="55.7109375" customWidth="1"/>
    <col min="7422" max="7422" width="3.28515625" customWidth="1"/>
    <col min="7423" max="7423" width="4" bestFit="1" customWidth="1"/>
    <col min="7424" max="7424" width="7.42578125" bestFit="1" customWidth="1"/>
    <col min="7425" max="7425" width="7.85546875" bestFit="1" customWidth="1"/>
    <col min="7426" max="7426" width="9" bestFit="1" customWidth="1"/>
    <col min="7427" max="7427" width="7.42578125" bestFit="1" customWidth="1"/>
    <col min="7428" max="7428" width="4.7109375" bestFit="1" customWidth="1"/>
    <col min="7430" max="7430" width="14.28515625" customWidth="1"/>
    <col min="7675" max="7675" width="4" customWidth="1"/>
    <col min="7676" max="7676" width="11.85546875" customWidth="1"/>
    <col min="7677" max="7677" width="55.7109375" customWidth="1"/>
    <col min="7678" max="7678" width="3.28515625" customWidth="1"/>
    <col min="7679" max="7679" width="4" bestFit="1" customWidth="1"/>
    <col min="7680" max="7680" width="7.42578125" bestFit="1" customWidth="1"/>
    <col min="7681" max="7681" width="7.85546875" bestFit="1" customWidth="1"/>
    <col min="7682" max="7682" width="9" bestFit="1" customWidth="1"/>
    <col min="7683" max="7683" width="7.42578125" bestFit="1" customWidth="1"/>
    <col min="7684" max="7684" width="4.7109375" bestFit="1" customWidth="1"/>
    <col min="7686" max="7686" width="14.28515625" customWidth="1"/>
    <col min="7931" max="7931" width="4" customWidth="1"/>
    <col min="7932" max="7932" width="11.85546875" customWidth="1"/>
    <col min="7933" max="7933" width="55.7109375" customWidth="1"/>
    <col min="7934" max="7934" width="3.28515625" customWidth="1"/>
    <col min="7935" max="7935" width="4" bestFit="1" customWidth="1"/>
    <col min="7936" max="7936" width="7.42578125" bestFit="1" customWidth="1"/>
    <col min="7937" max="7937" width="7.85546875" bestFit="1" customWidth="1"/>
    <col min="7938" max="7938" width="9" bestFit="1" customWidth="1"/>
    <col min="7939" max="7939" width="7.42578125" bestFit="1" customWidth="1"/>
    <col min="7940" max="7940" width="4.7109375" bestFit="1" customWidth="1"/>
    <col min="7942" max="7942" width="14.28515625" customWidth="1"/>
    <col min="8187" max="8187" width="4" customWidth="1"/>
    <col min="8188" max="8188" width="11.85546875" customWidth="1"/>
    <col min="8189" max="8189" width="55.7109375" customWidth="1"/>
    <col min="8190" max="8190" width="3.28515625" customWidth="1"/>
    <col min="8191" max="8191" width="4" bestFit="1" customWidth="1"/>
    <col min="8192" max="8192" width="7.42578125" bestFit="1" customWidth="1"/>
    <col min="8193" max="8193" width="7.85546875" bestFit="1" customWidth="1"/>
    <col min="8194" max="8194" width="9" bestFit="1" customWidth="1"/>
    <col min="8195" max="8195" width="7.42578125" bestFit="1" customWidth="1"/>
    <col min="8196" max="8196" width="4.7109375" bestFit="1" customWidth="1"/>
    <col min="8198" max="8198" width="14.28515625" customWidth="1"/>
    <col min="8443" max="8443" width="4" customWidth="1"/>
    <col min="8444" max="8444" width="11.85546875" customWidth="1"/>
    <col min="8445" max="8445" width="55.7109375" customWidth="1"/>
    <col min="8446" max="8446" width="3.28515625" customWidth="1"/>
    <col min="8447" max="8447" width="4" bestFit="1" customWidth="1"/>
    <col min="8448" max="8448" width="7.42578125" bestFit="1" customWidth="1"/>
    <col min="8449" max="8449" width="7.85546875" bestFit="1" customWidth="1"/>
    <col min="8450" max="8450" width="9" bestFit="1" customWidth="1"/>
    <col min="8451" max="8451" width="7.42578125" bestFit="1" customWidth="1"/>
    <col min="8452" max="8452" width="4.7109375" bestFit="1" customWidth="1"/>
    <col min="8454" max="8454" width="14.28515625" customWidth="1"/>
    <col min="8699" max="8699" width="4" customWidth="1"/>
    <col min="8700" max="8700" width="11.85546875" customWidth="1"/>
    <col min="8701" max="8701" width="55.7109375" customWidth="1"/>
    <col min="8702" max="8702" width="3.28515625" customWidth="1"/>
    <col min="8703" max="8703" width="4" bestFit="1" customWidth="1"/>
    <col min="8704" max="8704" width="7.42578125" bestFit="1" customWidth="1"/>
    <col min="8705" max="8705" width="7.85546875" bestFit="1" customWidth="1"/>
    <col min="8706" max="8706" width="9" bestFit="1" customWidth="1"/>
    <col min="8707" max="8707" width="7.42578125" bestFit="1" customWidth="1"/>
    <col min="8708" max="8708" width="4.7109375" bestFit="1" customWidth="1"/>
    <col min="8710" max="8710" width="14.28515625" customWidth="1"/>
    <col min="8955" max="8955" width="4" customWidth="1"/>
    <col min="8956" max="8956" width="11.85546875" customWidth="1"/>
    <col min="8957" max="8957" width="55.7109375" customWidth="1"/>
    <col min="8958" max="8958" width="3.28515625" customWidth="1"/>
    <col min="8959" max="8959" width="4" bestFit="1" customWidth="1"/>
    <col min="8960" max="8960" width="7.42578125" bestFit="1" customWidth="1"/>
    <col min="8961" max="8961" width="7.85546875" bestFit="1" customWidth="1"/>
    <col min="8962" max="8962" width="9" bestFit="1" customWidth="1"/>
    <col min="8963" max="8963" width="7.42578125" bestFit="1" customWidth="1"/>
    <col min="8964" max="8964" width="4.7109375" bestFit="1" customWidth="1"/>
    <col min="8966" max="8966" width="14.28515625" customWidth="1"/>
    <col min="9211" max="9211" width="4" customWidth="1"/>
    <col min="9212" max="9212" width="11.85546875" customWidth="1"/>
    <col min="9213" max="9213" width="55.7109375" customWidth="1"/>
    <col min="9214" max="9214" width="3.28515625" customWidth="1"/>
    <col min="9215" max="9215" width="4" bestFit="1" customWidth="1"/>
    <col min="9216" max="9216" width="7.42578125" bestFit="1" customWidth="1"/>
    <col min="9217" max="9217" width="7.85546875" bestFit="1" customWidth="1"/>
    <col min="9218" max="9218" width="9" bestFit="1" customWidth="1"/>
    <col min="9219" max="9219" width="7.42578125" bestFit="1" customWidth="1"/>
    <col min="9220" max="9220" width="4.7109375" bestFit="1" customWidth="1"/>
    <col min="9222" max="9222" width="14.28515625" customWidth="1"/>
    <col min="9467" max="9467" width="4" customWidth="1"/>
    <col min="9468" max="9468" width="11.85546875" customWidth="1"/>
    <col min="9469" max="9469" width="55.7109375" customWidth="1"/>
    <col min="9470" max="9470" width="3.28515625" customWidth="1"/>
    <col min="9471" max="9471" width="4" bestFit="1" customWidth="1"/>
    <col min="9472" max="9472" width="7.42578125" bestFit="1" customWidth="1"/>
    <col min="9473" max="9473" width="7.85546875" bestFit="1" customWidth="1"/>
    <col min="9474" max="9474" width="9" bestFit="1" customWidth="1"/>
    <col min="9475" max="9475" width="7.42578125" bestFit="1" customWidth="1"/>
    <col min="9476" max="9476" width="4.7109375" bestFit="1" customWidth="1"/>
    <col min="9478" max="9478" width="14.28515625" customWidth="1"/>
    <col min="9723" max="9723" width="4" customWidth="1"/>
    <col min="9724" max="9724" width="11.85546875" customWidth="1"/>
    <col min="9725" max="9725" width="55.7109375" customWidth="1"/>
    <col min="9726" max="9726" width="3.28515625" customWidth="1"/>
    <col min="9727" max="9727" width="4" bestFit="1" customWidth="1"/>
    <col min="9728" max="9728" width="7.42578125" bestFit="1" customWidth="1"/>
    <col min="9729" max="9729" width="7.85546875" bestFit="1" customWidth="1"/>
    <col min="9730" max="9730" width="9" bestFit="1" customWidth="1"/>
    <col min="9731" max="9731" width="7.42578125" bestFit="1" customWidth="1"/>
    <col min="9732" max="9732" width="4.7109375" bestFit="1" customWidth="1"/>
    <col min="9734" max="9734" width="14.28515625" customWidth="1"/>
    <col min="9979" max="9979" width="4" customWidth="1"/>
    <col min="9980" max="9980" width="11.85546875" customWidth="1"/>
    <col min="9981" max="9981" width="55.7109375" customWidth="1"/>
    <col min="9982" max="9982" width="3.28515625" customWidth="1"/>
    <col min="9983" max="9983" width="4" bestFit="1" customWidth="1"/>
    <col min="9984" max="9984" width="7.42578125" bestFit="1" customWidth="1"/>
    <col min="9985" max="9985" width="7.85546875" bestFit="1" customWidth="1"/>
    <col min="9986" max="9986" width="9" bestFit="1" customWidth="1"/>
    <col min="9987" max="9987" width="7.42578125" bestFit="1" customWidth="1"/>
    <col min="9988" max="9988" width="4.7109375" bestFit="1" customWidth="1"/>
    <col min="9990" max="9990" width="14.28515625" customWidth="1"/>
    <col min="10235" max="10235" width="4" customWidth="1"/>
    <col min="10236" max="10236" width="11.85546875" customWidth="1"/>
    <col min="10237" max="10237" width="55.7109375" customWidth="1"/>
    <col min="10238" max="10238" width="3.28515625" customWidth="1"/>
    <col min="10239" max="10239" width="4" bestFit="1" customWidth="1"/>
    <col min="10240" max="10240" width="7.42578125" bestFit="1" customWidth="1"/>
    <col min="10241" max="10241" width="7.85546875" bestFit="1" customWidth="1"/>
    <col min="10242" max="10242" width="9" bestFit="1" customWidth="1"/>
    <col min="10243" max="10243" width="7.42578125" bestFit="1" customWidth="1"/>
    <col min="10244" max="10244" width="4.7109375" bestFit="1" customWidth="1"/>
    <col min="10246" max="10246" width="14.28515625" customWidth="1"/>
    <col min="10491" max="10491" width="4" customWidth="1"/>
    <col min="10492" max="10492" width="11.85546875" customWidth="1"/>
    <col min="10493" max="10493" width="55.7109375" customWidth="1"/>
    <col min="10494" max="10494" width="3.28515625" customWidth="1"/>
    <col min="10495" max="10495" width="4" bestFit="1" customWidth="1"/>
    <col min="10496" max="10496" width="7.42578125" bestFit="1" customWidth="1"/>
    <col min="10497" max="10497" width="7.85546875" bestFit="1" customWidth="1"/>
    <col min="10498" max="10498" width="9" bestFit="1" customWidth="1"/>
    <col min="10499" max="10499" width="7.42578125" bestFit="1" customWidth="1"/>
    <col min="10500" max="10500" width="4.7109375" bestFit="1" customWidth="1"/>
    <col min="10502" max="10502" width="14.28515625" customWidth="1"/>
    <col min="10747" max="10747" width="4" customWidth="1"/>
    <col min="10748" max="10748" width="11.85546875" customWidth="1"/>
    <col min="10749" max="10749" width="55.7109375" customWidth="1"/>
    <col min="10750" max="10750" width="3.28515625" customWidth="1"/>
    <col min="10751" max="10751" width="4" bestFit="1" customWidth="1"/>
    <col min="10752" max="10752" width="7.42578125" bestFit="1" customWidth="1"/>
    <col min="10753" max="10753" width="7.85546875" bestFit="1" customWidth="1"/>
    <col min="10754" max="10754" width="9" bestFit="1" customWidth="1"/>
    <col min="10755" max="10755" width="7.42578125" bestFit="1" customWidth="1"/>
    <col min="10756" max="10756" width="4.7109375" bestFit="1" customWidth="1"/>
    <col min="10758" max="10758" width="14.28515625" customWidth="1"/>
    <col min="11003" max="11003" width="4" customWidth="1"/>
    <col min="11004" max="11004" width="11.85546875" customWidth="1"/>
    <col min="11005" max="11005" width="55.7109375" customWidth="1"/>
    <col min="11006" max="11006" width="3.28515625" customWidth="1"/>
    <col min="11007" max="11007" width="4" bestFit="1" customWidth="1"/>
    <col min="11008" max="11008" width="7.42578125" bestFit="1" customWidth="1"/>
    <col min="11009" max="11009" width="7.85546875" bestFit="1" customWidth="1"/>
    <col min="11010" max="11010" width="9" bestFit="1" customWidth="1"/>
    <col min="11011" max="11011" width="7.42578125" bestFit="1" customWidth="1"/>
    <col min="11012" max="11012" width="4.7109375" bestFit="1" customWidth="1"/>
    <col min="11014" max="11014" width="14.28515625" customWidth="1"/>
    <col min="11259" max="11259" width="4" customWidth="1"/>
    <col min="11260" max="11260" width="11.85546875" customWidth="1"/>
    <col min="11261" max="11261" width="55.7109375" customWidth="1"/>
    <col min="11262" max="11262" width="3.28515625" customWidth="1"/>
    <col min="11263" max="11263" width="4" bestFit="1" customWidth="1"/>
    <col min="11264" max="11264" width="7.42578125" bestFit="1" customWidth="1"/>
    <col min="11265" max="11265" width="7.85546875" bestFit="1" customWidth="1"/>
    <col min="11266" max="11266" width="9" bestFit="1" customWidth="1"/>
    <col min="11267" max="11267" width="7.42578125" bestFit="1" customWidth="1"/>
    <col min="11268" max="11268" width="4.7109375" bestFit="1" customWidth="1"/>
    <col min="11270" max="11270" width="14.28515625" customWidth="1"/>
    <col min="11515" max="11515" width="4" customWidth="1"/>
    <col min="11516" max="11516" width="11.85546875" customWidth="1"/>
    <col min="11517" max="11517" width="55.7109375" customWidth="1"/>
    <col min="11518" max="11518" width="3.28515625" customWidth="1"/>
    <col min="11519" max="11519" width="4" bestFit="1" customWidth="1"/>
    <col min="11520" max="11520" width="7.42578125" bestFit="1" customWidth="1"/>
    <col min="11521" max="11521" width="7.85546875" bestFit="1" customWidth="1"/>
    <col min="11522" max="11522" width="9" bestFit="1" customWidth="1"/>
    <col min="11523" max="11523" width="7.42578125" bestFit="1" customWidth="1"/>
    <col min="11524" max="11524" width="4.7109375" bestFit="1" customWidth="1"/>
    <col min="11526" max="11526" width="14.28515625" customWidth="1"/>
    <col min="11771" max="11771" width="4" customWidth="1"/>
    <col min="11772" max="11772" width="11.85546875" customWidth="1"/>
    <col min="11773" max="11773" width="55.7109375" customWidth="1"/>
    <col min="11774" max="11774" width="3.28515625" customWidth="1"/>
    <col min="11775" max="11775" width="4" bestFit="1" customWidth="1"/>
    <col min="11776" max="11776" width="7.42578125" bestFit="1" customWidth="1"/>
    <col min="11777" max="11777" width="7.85546875" bestFit="1" customWidth="1"/>
    <col min="11778" max="11778" width="9" bestFit="1" customWidth="1"/>
    <col min="11779" max="11779" width="7.42578125" bestFit="1" customWidth="1"/>
    <col min="11780" max="11780" width="4.7109375" bestFit="1" customWidth="1"/>
    <col min="11782" max="11782" width="14.28515625" customWidth="1"/>
    <col min="12027" max="12027" width="4" customWidth="1"/>
    <col min="12028" max="12028" width="11.85546875" customWidth="1"/>
    <col min="12029" max="12029" width="55.7109375" customWidth="1"/>
    <col min="12030" max="12030" width="3.28515625" customWidth="1"/>
    <col min="12031" max="12031" width="4" bestFit="1" customWidth="1"/>
    <col min="12032" max="12032" width="7.42578125" bestFit="1" customWidth="1"/>
    <col min="12033" max="12033" width="7.85546875" bestFit="1" customWidth="1"/>
    <col min="12034" max="12034" width="9" bestFit="1" customWidth="1"/>
    <col min="12035" max="12035" width="7.42578125" bestFit="1" customWidth="1"/>
    <col min="12036" max="12036" width="4.7109375" bestFit="1" customWidth="1"/>
    <col min="12038" max="12038" width="14.28515625" customWidth="1"/>
    <col min="12283" max="12283" width="4" customWidth="1"/>
    <col min="12284" max="12284" width="11.85546875" customWidth="1"/>
    <col min="12285" max="12285" width="55.7109375" customWidth="1"/>
    <col min="12286" max="12286" width="3.28515625" customWidth="1"/>
    <col min="12287" max="12287" width="4" bestFit="1" customWidth="1"/>
    <col min="12288" max="12288" width="7.42578125" bestFit="1" customWidth="1"/>
    <col min="12289" max="12289" width="7.85546875" bestFit="1" customWidth="1"/>
    <col min="12290" max="12290" width="9" bestFit="1" customWidth="1"/>
    <col min="12291" max="12291" width="7.42578125" bestFit="1" customWidth="1"/>
    <col min="12292" max="12292" width="4.7109375" bestFit="1" customWidth="1"/>
    <col min="12294" max="12294" width="14.28515625" customWidth="1"/>
    <col min="12539" max="12539" width="4" customWidth="1"/>
    <col min="12540" max="12540" width="11.85546875" customWidth="1"/>
    <col min="12541" max="12541" width="55.7109375" customWidth="1"/>
    <col min="12542" max="12542" width="3.28515625" customWidth="1"/>
    <col min="12543" max="12543" width="4" bestFit="1" customWidth="1"/>
    <col min="12544" max="12544" width="7.42578125" bestFit="1" customWidth="1"/>
    <col min="12545" max="12545" width="7.85546875" bestFit="1" customWidth="1"/>
    <col min="12546" max="12546" width="9" bestFit="1" customWidth="1"/>
    <col min="12547" max="12547" width="7.42578125" bestFit="1" customWidth="1"/>
    <col min="12548" max="12548" width="4.7109375" bestFit="1" customWidth="1"/>
    <col min="12550" max="12550" width="14.28515625" customWidth="1"/>
    <col min="12795" max="12795" width="4" customWidth="1"/>
    <col min="12796" max="12796" width="11.85546875" customWidth="1"/>
    <col min="12797" max="12797" width="55.7109375" customWidth="1"/>
    <col min="12798" max="12798" width="3.28515625" customWidth="1"/>
    <col min="12799" max="12799" width="4" bestFit="1" customWidth="1"/>
    <col min="12800" max="12800" width="7.42578125" bestFit="1" customWidth="1"/>
    <col min="12801" max="12801" width="7.85546875" bestFit="1" customWidth="1"/>
    <col min="12802" max="12802" width="9" bestFit="1" customWidth="1"/>
    <col min="12803" max="12803" width="7.42578125" bestFit="1" customWidth="1"/>
    <col min="12804" max="12804" width="4.7109375" bestFit="1" customWidth="1"/>
    <col min="12806" max="12806" width="14.28515625" customWidth="1"/>
    <col min="13051" max="13051" width="4" customWidth="1"/>
    <col min="13052" max="13052" width="11.85546875" customWidth="1"/>
    <col min="13053" max="13053" width="55.7109375" customWidth="1"/>
    <col min="13054" max="13054" width="3.28515625" customWidth="1"/>
    <col min="13055" max="13055" width="4" bestFit="1" customWidth="1"/>
    <col min="13056" max="13056" width="7.42578125" bestFit="1" customWidth="1"/>
    <col min="13057" max="13057" width="7.85546875" bestFit="1" customWidth="1"/>
    <col min="13058" max="13058" width="9" bestFit="1" customWidth="1"/>
    <col min="13059" max="13059" width="7.42578125" bestFit="1" customWidth="1"/>
    <col min="13060" max="13060" width="4.7109375" bestFit="1" customWidth="1"/>
    <col min="13062" max="13062" width="14.28515625" customWidth="1"/>
    <col min="13307" max="13307" width="4" customWidth="1"/>
    <col min="13308" max="13308" width="11.85546875" customWidth="1"/>
    <col min="13309" max="13309" width="55.7109375" customWidth="1"/>
    <col min="13310" max="13310" width="3.28515625" customWidth="1"/>
    <col min="13311" max="13311" width="4" bestFit="1" customWidth="1"/>
    <col min="13312" max="13312" width="7.42578125" bestFit="1" customWidth="1"/>
    <col min="13313" max="13313" width="7.85546875" bestFit="1" customWidth="1"/>
    <col min="13314" max="13314" width="9" bestFit="1" customWidth="1"/>
    <col min="13315" max="13315" width="7.42578125" bestFit="1" customWidth="1"/>
    <col min="13316" max="13316" width="4.7109375" bestFit="1" customWidth="1"/>
    <col min="13318" max="13318" width="14.28515625" customWidth="1"/>
    <col min="13563" max="13563" width="4" customWidth="1"/>
    <col min="13564" max="13564" width="11.85546875" customWidth="1"/>
    <col min="13565" max="13565" width="55.7109375" customWidth="1"/>
    <col min="13566" max="13566" width="3.28515625" customWidth="1"/>
    <col min="13567" max="13567" width="4" bestFit="1" customWidth="1"/>
    <col min="13568" max="13568" width="7.42578125" bestFit="1" customWidth="1"/>
    <col min="13569" max="13569" width="7.85546875" bestFit="1" customWidth="1"/>
    <col min="13570" max="13570" width="9" bestFit="1" customWidth="1"/>
    <col min="13571" max="13571" width="7.42578125" bestFit="1" customWidth="1"/>
    <col min="13572" max="13572" width="4.7109375" bestFit="1" customWidth="1"/>
    <col min="13574" max="13574" width="14.28515625" customWidth="1"/>
    <col min="13819" max="13819" width="4" customWidth="1"/>
    <col min="13820" max="13820" width="11.85546875" customWidth="1"/>
    <col min="13821" max="13821" width="55.7109375" customWidth="1"/>
    <col min="13822" max="13822" width="3.28515625" customWidth="1"/>
    <col min="13823" max="13823" width="4" bestFit="1" customWidth="1"/>
    <col min="13824" max="13824" width="7.42578125" bestFit="1" customWidth="1"/>
    <col min="13825" max="13825" width="7.85546875" bestFit="1" customWidth="1"/>
    <col min="13826" max="13826" width="9" bestFit="1" customWidth="1"/>
    <col min="13827" max="13827" width="7.42578125" bestFit="1" customWidth="1"/>
    <col min="13828" max="13828" width="4.7109375" bestFit="1" customWidth="1"/>
    <col min="13830" max="13830" width="14.28515625" customWidth="1"/>
    <col min="14075" max="14075" width="4" customWidth="1"/>
    <col min="14076" max="14076" width="11.85546875" customWidth="1"/>
    <col min="14077" max="14077" width="55.7109375" customWidth="1"/>
    <col min="14078" max="14078" width="3.28515625" customWidth="1"/>
    <col min="14079" max="14079" width="4" bestFit="1" customWidth="1"/>
    <col min="14080" max="14080" width="7.42578125" bestFit="1" customWidth="1"/>
    <col min="14081" max="14081" width="7.85546875" bestFit="1" customWidth="1"/>
    <col min="14082" max="14082" width="9" bestFit="1" customWidth="1"/>
    <col min="14083" max="14083" width="7.42578125" bestFit="1" customWidth="1"/>
    <col min="14084" max="14084" width="4.7109375" bestFit="1" customWidth="1"/>
    <col min="14086" max="14086" width="14.28515625" customWidth="1"/>
    <col min="14331" max="14331" width="4" customWidth="1"/>
    <col min="14332" max="14332" width="11.85546875" customWidth="1"/>
    <col min="14333" max="14333" width="55.7109375" customWidth="1"/>
    <col min="14334" max="14334" width="3.28515625" customWidth="1"/>
    <col min="14335" max="14335" width="4" bestFit="1" customWidth="1"/>
    <col min="14336" max="14336" width="7.42578125" bestFit="1" customWidth="1"/>
    <col min="14337" max="14337" width="7.85546875" bestFit="1" customWidth="1"/>
    <col min="14338" max="14338" width="9" bestFit="1" customWidth="1"/>
    <col min="14339" max="14339" width="7.42578125" bestFit="1" customWidth="1"/>
    <col min="14340" max="14340" width="4.7109375" bestFit="1" customWidth="1"/>
    <col min="14342" max="14342" width="14.28515625" customWidth="1"/>
    <col min="14587" max="14587" width="4" customWidth="1"/>
    <col min="14588" max="14588" width="11.85546875" customWidth="1"/>
    <col min="14589" max="14589" width="55.7109375" customWidth="1"/>
    <col min="14590" max="14590" width="3.28515625" customWidth="1"/>
    <col min="14591" max="14591" width="4" bestFit="1" customWidth="1"/>
    <col min="14592" max="14592" width="7.42578125" bestFit="1" customWidth="1"/>
    <col min="14593" max="14593" width="7.85546875" bestFit="1" customWidth="1"/>
    <col min="14594" max="14594" width="9" bestFit="1" customWidth="1"/>
    <col min="14595" max="14595" width="7.42578125" bestFit="1" customWidth="1"/>
    <col min="14596" max="14596" width="4.7109375" bestFit="1" customWidth="1"/>
    <col min="14598" max="14598" width="14.28515625" customWidth="1"/>
    <col min="14843" max="14843" width="4" customWidth="1"/>
    <col min="14844" max="14844" width="11.85546875" customWidth="1"/>
    <col min="14845" max="14845" width="55.7109375" customWidth="1"/>
    <col min="14846" max="14846" width="3.28515625" customWidth="1"/>
    <col min="14847" max="14847" width="4" bestFit="1" customWidth="1"/>
    <col min="14848" max="14848" width="7.42578125" bestFit="1" customWidth="1"/>
    <col min="14849" max="14849" width="7.85546875" bestFit="1" customWidth="1"/>
    <col min="14850" max="14850" width="9" bestFit="1" customWidth="1"/>
    <col min="14851" max="14851" width="7.42578125" bestFit="1" customWidth="1"/>
    <col min="14852" max="14852" width="4.7109375" bestFit="1" customWidth="1"/>
    <col min="14854" max="14854" width="14.28515625" customWidth="1"/>
    <col min="15099" max="15099" width="4" customWidth="1"/>
    <col min="15100" max="15100" width="11.85546875" customWidth="1"/>
    <col min="15101" max="15101" width="55.7109375" customWidth="1"/>
    <col min="15102" max="15102" width="3.28515625" customWidth="1"/>
    <col min="15103" max="15103" width="4" bestFit="1" customWidth="1"/>
    <col min="15104" max="15104" width="7.42578125" bestFit="1" customWidth="1"/>
    <col min="15105" max="15105" width="7.85546875" bestFit="1" customWidth="1"/>
    <col min="15106" max="15106" width="9" bestFit="1" customWidth="1"/>
    <col min="15107" max="15107" width="7.42578125" bestFit="1" customWidth="1"/>
    <col min="15108" max="15108" width="4.7109375" bestFit="1" customWidth="1"/>
    <col min="15110" max="15110" width="14.28515625" customWidth="1"/>
    <col min="15355" max="15355" width="4" customWidth="1"/>
    <col min="15356" max="15356" width="11.85546875" customWidth="1"/>
    <col min="15357" max="15357" width="55.7109375" customWidth="1"/>
    <col min="15358" max="15358" width="3.28515625" customWidth="1"/>
    <col min="15359" max="15359" width="4" bestFit="1" customWidth="1"/>
    <col min="15360" max="15360" width="7.42578125" bestFit="1" customWidth="1"/>
    <col min="15361" max="15361" width="7.85546875" bestFit="1" customWidth="1"/>
    <col min="15362" max="15362" width="9" bestFit="1" customWidth="1"/>
    <col min="15363" max="15363" width="7.42578125" bestFit="1" customWidth="1"/>
    <col min="15364" max="15364" width="4.7109375" bestFit="1" customWidth="1"/>
    <col min="15366" max="15366" width="14.28515625" customWidth="1"/>
    <col min="15611" max="15611" width="4" customWidth="1"/>
    <col min="15612" max="15612" width="11.85546875" customWidth="1"/>
    <col min="15613" max="15613" width="55.7109375" customWidth="1"/>
    <col min="15614" max="15614" width="3.28515625" customWidth="1"/>
    <col min="15615" max="15615" width="4" bestFit="1" customWidth="1"/>
    <col min="15616" max="15616" width="7.42578125" bestFit="1" customWidth="1"/>
    <col min="15617" max="15617" width="7.85546875" bestFit="1" customWidth="1"/>
    <col min="15618" max="15618" width="9" bestFit="1" customWidth="1"/>
    <col min="15619" max="15619" width="7.42578125" bestFit="1" customWidth="1"/>
    <col min="15620" max="15620" width="4.7109375" bestFit="1" customWidth="1"/>
    <col min="15622" max="15622" width="14.28515625" customWidth="1"/>
    <col min="15867" max="15867" width="4" customWidth="1"/>
    <col min="15868" max="15868" width="11.85546875" customWidth="1"/>
    <col min="15869" max="15869" width="55.7109375" customWidth="1"/>
    <col min="15870" max="15870" width="3.28515625" customWidth="1"/>
    <col min="15871" max="15871" width="4" bestFit="1" customWidth="1"/>
    <col min="15872" max="15872" width="7.42578125" bestFit="1" customWidth="1"/>
    <col min="15873" max="15873" width="7.85546875" bestFit="1" customWidth="1"/>
    <col min="15874" max="15874" width="9" bestFit="1" customWidth="1"/>
    <col min="15875" max="15875" width="7.42578125" bestFit="1" customWidth="1"/>
    <col min="15876" max="15876" width="4.7109375" bestFit="1" customWidth="1"/>
    <col min="15878" max="15878" width="14.28515625" customWidth="1"/>
    <col min="16123" max="16123" width="4" customWidth="1"/>
    <col min="16124" max="16124" width="11.85546875" customWidth="1"/>
    <col min="16125" max="16125" width="55.7109375" customWidth="1"/>
    <col min="16126" max="16126" width="3.28515625" customWidth="1"/>
    <col min="16127" max="16127" width="4" bestFit="1" customWidth="1"/>
    <col min="16128" max="16128" width="7.42578125" bestFit="1" customWidth="1"/>
    <col min="16129" max="16129" width="7.85546875" bestFit="1" customWidth="1"/>
    <col min="16130" max="16130" width="9" bestFit="1" customWidth="1"/>
    <col min="16131" max="16131" width="7.42578125" bestFit="1" customWidth="1"/>
    <col min="16132" max="16132" width="4.7109375" bestFit="1" customWidth="1"/>
    <col min="16134" max="16134" width="14.28515625" customWidth="1"/>
  </cols>
  <sheetData>
    <row r="1" spans="1:13" s="466" customFormat="1" ht="15">
      <c r="A1" s="979" t="s">
        <v>437</v>
      </c>
      <c r="B1" s="979"/>
      <c r="C1" s="979"/>
      <c r="D1" s="979"/>
      <c r="E1" s="979"/>
      <c r="F1" s="979"/>
      <c r="G1" s="465"/>
    </row>
    <row r="2" spans="1:13" s="466" customFormat="1" ht="13.5">
      <c r="A2" s="980" t="s">
        <v>73</v>
      </c>
      <c r="B2" s="980"/>
      <c r="C2" s="980"/>
      <c r="D2" s="980"/>
      <c r="E2" s="980"/>
      <c r="F2" s="980"/>
      <c r="G2" s="465"/>
    </row>
    <row r="3" spans="1:13" s="466" customFormat="1" ht="54.75" customHeight="1">
      <c r="A3" s="981" t="s">
        <v>568</v>
      </c>
      <c r="B3" s="981"/>
      <c r="C3" s="981"/>
      <c r="D3" s="981"/>
      <c r="E3" s="981"/>
      <c r="F3" s="981"/>
      <c r="G3" s="465"/>
    </row>
    <row r="4" spans="1:13" s="466" customFormat="1" ht="15">
      <c r="A4" s="982" t="s">
        <v>476</v>
      </c>
      <c r="B4" s="982"/>
      <c r="C4" s="982"/>
      <c r="D4" s="982"/>
      <c r="E4" s="982"/>
      <c r="F4" s="982"/>
      <c r="G4" s="465"/>
    </row>
    <row r="5" spans="1:13" s="467" customFormat="1" ht="15">
      <c r="A5" s="983" t="s">
        <v>477</v>
      </c>
      <c r="B5" s="983"/>
      <c r="C5" s="983"/>
      <c r="D5" s="983"/>
      <c r="E5" s="983"/>
      <c r="F5" s="983"/>
    </row>
    <row r="6" spans="1:13" s="467" customFormat="1" ht="15">
      <c r="A6" s="468"/>
      <c r="B6" s="6"/>
      <c r="C6" s="469"/>
      <c r="D6" s="469"/>
      <c r="E6" s="469"/>
      <c r="F6" s="469"/>
    </row>
    <row r="7" spans="1:13" s="154" customFormat="1" ht="45">
      <c r="A7" s="470" t="s">
        <v>478</v>
      </c>
      <c r="B7" s="470" t="s">
        <v>479</v>
      </c>
      <c r="C7" s="470" t="s">
        <v>480</v>
      </c>
      <c r="D7" s="470" t="s">
        <v>481</v>
      </c>
      <c r="E7" s="470" t="s">
        <v>482</v>
      </c>
      <c r="F7" s="470" t="s">
        <v>483</v>
      </c>
    </row>
    <row r="8" spans="1:13" ht="45" customHeight="1">
      <c r="A8" s="471" t="s">
        <v>484</v>
      </c>
      <c r="B8" s="472" t="s">
        <v>485</v>
      </c>
      <c r="C8" s="472" t="s">
        <v>486</v>
      </c>
      <c r="D8" s="473">
        <v>1</v>
      </c>
      <c r="E8" s="474">
        <v>7540</v>
      </c>
      <c r="F8" s="475">
        <f>E8*D8</f>
        <v>7540</v>
      </c>
      <c r="I8" s="47"/>
      <c r="M8">
        <v>52</v>
      </c>
    </row>
    <row r="9" spans="1:13" s="6" customFormat="1" ht="32.25" customHeight="1">
      <c r="A9" s="471" t="s">
        <v>580</v>
      </c>
      <c r="B9" s="472" t="s">
        <v>487</v>
      </c>
      <c r="C9" s="472" t="s">
        <v>488</v>
      </c>
      <c r="D9" s="473">
        <v>1</v>
      </c>
      <c r="E9" s="474">
        <v>1380</v>
      </c>
      <c r="F9" s="475">
        <f>D9*E9</f>
        <v>1380</v>
      </c>
    </row>
    <row r="10" spans="1:13" s="6" customFormat="1" ht="24" customHeight="1">
      <c r="A10" s="476">
        <v>3</v>
      </c>
      <c r="B10" s="477" t="s">
        <v>489</v>
      </c>
      <c r="C10" s="472" t="s">
        <v>490</v>
      </c>
      <c r="D10" s="478">
        <v>1</v>
      </c>
      <c r="E10" s="474">
        <v>2760</v>
      </c>
      <c r="F10" s="475">
        <f>E10*D10</f>
        <v>2760</v>
      </c>
    </row>
    <row r="11" spans="1:13" s="6" customFormat="1" ht="165.75" customHeight="1">
      <c r="A11" s="476">
        <v>4</v>
      </c>
      <c r="B11" s="472" t="s">
        <v>491</v>
      </c>
      <c r="C11" s="479" t="s">
        <v>492</v>
      </c>
      <c r="D11" s="473"/>
      <c r="E11" s="474"/>
      <c r="F11" s="475"/>
    </row>
    <row r="12" spans="1:13" s="6" customFormat="1" ht="13.5" customHeight="1">
      <c r="A12" s="476"/>
      <c r="B12" s="480" t="s">
        <v>493</v>
      </c>
      <c r="C12" s="474"/>
      <c r="D12" s="473">
        <v>2</v>
      </c>
      <c r="E12" s="474">
        <v>1380</v>
      </c>
      <c r="F12" s="475">
        <f>E12*D12</f>
        <v>2760</v>
      </c>
    </row>
    <row r="13" spans="1:13" ht="30">
      <c r="A13" s="481">
        <v>5</v>
      </c>
      <c r="B13" s="630" t="s">
        <v>578</v>
      </c>
      <c r="C13" s="630" t="s">
        <v>579</v>
      </c>
      <c r="D13" s="773">
        <v>2</v>
      </c>
      <c r="E13" s="474">
        <v>1675</v>
      </c>
      <c r="F13" s="774">
        <f t="shared" ref="F13" si="0">E13*D13</f>
        <v>3350</v>
      </c>
    </row>
    <row r="14" spans="1:13" ht="15.75">
      <c r="A14" s="481"/>
      <c r="B14" s="482"/>
      <c r="C14" s="483"/>
      <c r="D14" s="484"/>
      <c r="E14" s="485"/>
      <c r="F14" s="775">
        <f>SUM(F8:F13)</f>
        <v>17790</v>
      </c>
    </row>
    <row r="15" spans="1:13">
      <c r="B15" s="51"/>
      <c r="C15" s="51"/>
      <c r="D15" s="51"/>
    </row>
    <row r="17" spans="4:4">
      <c r="D17" s="51"/>
    </row>
    <row r="18" spans="4:4" ht="14.25">
      <c r="D18" s="462" t="s">
        <v>474</v>
      </c>
    </row>
    <row r="19" spans="4:4" ht="14.25">
      <c r="D19" s="463" t="s">
        <v>475</v>
      </c>
    </row>
    <row r="21" spans="4:4">
      <c r="D21" s="51"/>
    </row>
  </sheetData>
  <mergeCells count="5">
    <mergeCell ref="A1:F1"/>
    <mergeCell ref="A2:F2"/>
    <mergeCell ref="A3:F3"/>
    <mergeCell ref="A4:F4"/>
    <mergeCell ref="A5:F5"/>
  </mergeCells>
  <pageMargins left="0.7" right="0.7" top="0.75" bottom="0.75" header="0.3" footer="0.3"/>
  <pageSetup orientation="portrait" verticalDpi="30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7</vt:i4>
      </vt:variant>
      <vt:variant>
        <vt:lpstr>Named Ranges</vt:lpstr>
      </vt:variant>
      <vt:variant>
        <vt:i4>8</vt:i4>
      </vt:variant>
    </vt:vector>
  </HeadingPairs>
  <TitlesOfParts>
    <vt:vector size="15" baseType="lpstr">
      <vt:lpstr>Face B (2)</vt:lpstr>
      <vt:lpstr>Face F</vt:lpstr>
      <vt:lpstr>meas Colony 20.05.15</vt:lpstr>
      <vt:lpstr>Painting Estimate Colony F</vt:lpstr>
      <vt:lpstr>Class IV </vt:lpstr>
      <vt:lpstr>FS</vt:lpstr>
      <vt:lpstr>QC</vt:lpstr>
      <vt:lpstr>'Class IV '!Print_Area</vt:lpstr>
      <vt:lpstr>'Face B (2)'!Print_Area</vt:lpstr>
      <vt:lpstr>'Face F'!Print_Area</vt:lpstr>
      <vt:lpstr>'meas Colony 20.05.15'!Print_Area</vt:lpstr>
      <vt:lpstr>'Painting Estimate Colony F'!Print_Area</vt:lpstr>
      <vt:lpstr>QC!Print_Area</vt:lpstr>
      <vt:lpstr>'meas Colony 20.05.15'!Print_Titles</vt:lpstr>
      <vt:lpstr>'Painting Estimate Colony F'!Print_Titles</vt:lpstr>
    </vt:vector>
  </TitlesOfParts>
  <Company>MILLENIUM BUSINESS PARK DIV. MAHAPE</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 S. ANKUSH</dc:creator>
  <cp:lastModifiedBy>Admin</cp:lastModifiedBy>
  <cp:lastPrinted>2026-08-08T19:37:41Z</cp:lastPrinted>
  <dcterms:created xsi:type="dcterms:W3CDTF">2000-03-06T20:32:33Z</dcterms:created>
  <dcterms:modified xsi:type="dcterms:W3CDTF">2026-08-10T05:39:20Z</dcterms:modified>
</cp:coreProperties>
</file>